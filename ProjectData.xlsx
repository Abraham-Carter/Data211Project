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ab52ec2d4d56e3/Documents/MetroState/DATA211/"/>
    </mc:Choice>
  </mc:AlternateContent>
  <xr:revisionPtr revIDLastSave="933" documentId="8_{C9531149-22FC-49A6-8F90-2CB961BC1B0E}" xr6:coauthVersionLast="47" xr6:coauthVersionMax="47" xr10:uidLastSave="{D9B2F87E-C2AF-4806-8D90-6F77CED6CF41}"/>
  <bookViews>
    <workbookView xWindow="-110" yWindow="-110" windowWidth="38620" windowHeight="21100" activeTab="1" xr2:uid="{40276AAC-3314-4F23-8EAC-B910C24407A5}"/>
  </bookViews>
  <sheets>
    <sheet name="Sheet5" sheetId="5" r:id="rId1"/>
    <sheet name="Sheet6" sheetId="6" r:id="rId2"/>
    <sheet name="Sheet1" sheetId="1" r:id="rId3"/>
    <sheet name="Sheet2" sheetId="2" r:id="rId4"/>
    <sheet name="Sheet4" sheetId="4" r:id="rId5"/>
    <sheet name="Sheet3" sheetId="3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6" l="1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8" i="6"/>
  <c r="C7" i="6"/>
  <c r="C6" i="6"/>
  <c r="C5" i="6"/>
  <c r="C4" i="6"/>
  <c r="C3" i="6"/>
  <c r="C2" i="6"/>
  <c r="C1" i="6"/>
  <c r="E5" i="4"/>
  <c r="E4" i="4"/>
  <c r="H4" i="2"/>
  <c r="H5" i="2"/>
  <c r="E5" i="2"/>
  <c r="D4" i="4"/>
  <c r="D5" i="4"/>
  <c r="E4" i="2"/>
</calcChain>
</file>

<file path=xl/sharedStrings.xml><?xml version="1.0" encoding="utf-8"?>
<sst xmlns="http://schemas.openxmlformats.org/spreadsheetml/2006/main" count="26" uniqueCount="15">
  <si>
    <t>Time</t>
  </si>
  <si>
    <t>drank</t>
  </si>
  <si>
    <t>AtWork</t>
  </si>
  <si>
    <t>Date</t>
  </si>
  <si>
    <t>Sum of drank</t>
  </si>
  <si>
    <t>Row Labels</t>
  </si>
  <si>
    <t>FALSE</t>
  </si>
  <si>
    <t>TRUE</t>
  </si>
  <si>
    <t>Grand Total</t>
  </si>
  <si>
    <t>Militers Drunk Per Hour</t>
  </si>
  <si>
    <t>At Work</t>
  </si>
  <si>
    <t>False</t>
  </si>
  <si>
    <t>True</t>
  </si>
  <si>
    <t>Hour</t>
  </si>
  <si>
    <t>Drank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</si>
</sst>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ml drunk per hour at 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Sheet6!$B$1:$B$16</c:f>
              <c:numCache>
                <c:formatCode>General</c:formatCode>
                <c:ptCount val="1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</c:numCache>
            </c:numRef>
          </c:cat>
          <c:val>
            <c:numRef>
              <c:f>Sheet6!$C$1:$C$16</c:f>
              <c:numCache>
                <c:formatCode>0.00</c:formatCode>
                <c:ptCount val="16"/>
                <c:pt idx="0">
                  <c:v>370.71428571428572</c:v>
                </c:pt>
                <c:pt idx="1">
                  <c:v>107.57142857142857</c:v>
                </c:pt>
                <c:pt idx="2">
                  <c:v>115</c:v>
                </c:pt>
                <c:pt idx="3">
                  <c:v>105.71428571428571</c:v>
                </c:pt>
                <c:pt idx="4">
                  <c:v>162</c:v>
                </c:pt>
                <c:pt idx="5">
                  <c:v>283.14285714285717</c:v>
                </c:pt>
                <c:pt idx="6">
                  <c:v>122.71428571428571</c:v>
                </c:pt>
                <c:pt idx="7">
                  <c:v>26.285714285714285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E-4D1E-B689-FF01C5549B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3465759"/>
        <c:axId val="824678623"/>
      </c:barChart>
      <c:catAx>
        <c:axId val="82346575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678623"/>
        <c:crosses val="autoZero"/>
        <c:auto val="1"/>
        <c:lblAlgn val="ctr"/>
        <c:lblOffset val="100"/>
        <c:noMultiLvlLbl val="0"/>
      </c:catAx>
      <c:valAx>
        <c:axId val="82467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ml</a:t>
                </a:r>
                <a:r>
                  <a:rPr lang="en-US" baseline="0"/>
                  <a:t> of water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46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ml drunk per hour away from 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Sheet6!$B$18:$B$33</c:f>
              <c:numCache>
                <c:formatCode>General</c:formatCode>
                <c:ptCount val="1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</c:numCache>
            </c:numRef>
          </c:cat>
          <c:val>
            <c:numRef>
              <c:f>Sheet6!$C$18:$C$33</c:f>
              <c:numCache>
                <c:formatCode>0.00</c:formatCode>
                <c:ptCount val="16"/>
                <c:pt idx="0">
                  <c:v>148.57142857142858</c:v>
                </c:pt>
                <c:pt idx="1">
                  <c:v>162.28571428571428</c:v>
                </c:pt>
                <c:pt idx="2">
                  <c:v>134.57142857142858</c:v>
                </c:pt>
                <c:pt idx="3">
                  <c:v>156.57142857142858</c:v>
                </c:pt>
                <c:pt idx="4">
                  <c:v>54</c:v>
                </c:pt>
                <c:pt idx="5">
                  <c:v>253.14285714285714</c:v>
                </c:pt>
                <c:pt idx="6">
                  <c:v>200.57142857142858</c:v>
                </c:pt>
                <c:pt idx="7">
                  <c:v>265.85714285714283</c:v>
                </c:pt>
                <c:pt idx="8">
                  <c:v>191.07142857142858</c:v>
                </c:pt>
                <c:pt idx="9">
                  <c:v>188.64285714285714</c:v>
                </c:pt>
                <c:pt idx="10">
                  <c:v>179.64285714285714</c:v>
                </c:pt>
                <c:pt idx="11">
                  <c:v>120.21428571428571</c:v>
                </c:pt>
                <c:pt idx="12">
                  <c:v>112.42857142857143</c:v>
                </c:pt>
                <c:pt idx="13">
                  <c:v>82.714285714285708</c:v>
                </c:pt>
                <c:pt idx="14">
                  <c:v>0</c:v>
                </c:pt>
                <c:pt idx="15">
                  <c:v>9.3571428571428577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E-488B-B8B9-9FD087B07B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4341103"/>
        <c:axId val="734339663"/>
      </c:barChart>
      <c:catAx>
        <c:axId val="734341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339663"/>
        <c:crosses val="autoZero"/>
        <c:auto val="1"/>
        <c:lblAlgn val="ctr"/>
        <c:lblOffset val="100"/>
        <c:noMultiLvlLbl val="0"/>
      </c:catAx>
      <c:valAx>
        <c:axId val="734339663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Average ml of water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34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</a:t>
            </a:r>
            <a:r>
              <a:rPr lang="en-US" baseline="0"/>
              <a:t> Drunk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Sheet2!$G$4:$G$5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Sheet2!$H$4:$H$5</c:f>
              <c:numCache>
                <c:formatCode>General</c:formatCode>
                <c:ptCount val="2"/>
                <c:pt idx="0">
                  <c:v>130.98809523809524</c:v>
                </c:pt>
                <c:pt idx="1">
                  <c:v>161.64285714285714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1-4AB0-8B0F-FEF91E52D5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152960"/>
        <c:axId val="98157280"/>
      </c:barChart>
      <c:catAx>
        <c:axId val="98152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Drunk</a:t>
                </a:r>
                <a:r>
                  <a:rPr lang="en-US" baseline="0"/>
                  <a:t> While at Work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57280"/>
        <c:crosses val="autoZero"/>
        <c:auto val="1"/>
        <c:lblAlgn val="ctr"/>
        <c:lblOffset val="100"/>
        <c:noMultiLvlLbl val="0"/>
      </c:catAx>
      <c:valAx>
        <c:axId val="9815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ml per 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5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[ProjectData.xlsx]Sheet4!PivotTable2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8999</c:v>
                </c:pt>
                <c:pt idx="1">
                  <c:v>9052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D-404D-8D38-9799D88C9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912848"/>
        <c:axId val="1734913328"/>
      </c:barChart>
      <c:catAx>
        <c:axId val="173491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913328"/>
        <c:crosses val="autoZero"/>
        <c:auto val="1"/>
        <c:lblAlgn val="ctr"/>
        <c:lblOffset val="100"/>
        <c:noMultiLvlLbl val="0"/>
      </c:catAx>
      <c:valAx>
        <c:axId val="173491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91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Values of Water Drunk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Sheet4!$D$3</c:f>
              <c:strCache>
                <c:ptCount val="1"/>
                <c:pt idx="0">
                  <c:v>Militers Drunk Per Hour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Sheet4!$C$4:$C$5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Sheet4!$D$4:$D$5</c:f>
              <c:numCache>
                <c:formatCode>General</c:formatCode>
                <c:ptCount val="2"/>
                <c:pt idx="0">
                  <c:v>137.625</c:v>
                </c:pt>
                <c:pt idx="1">
                  <c:v>163.19999999999999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A-4C89-8CD2-DBFCF8955D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5881488"/>
        <c:axId val="1725877168"/>
      </c:barChart>
      <c:catAx>
        <c:axId val="172588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 Work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877168"/>
        <c:crosses val="autoZero"/>
        <c:auto val="0"/>
        <c:lblAlgn val="ctr"/>
        <c:lblOffset val="100"/>
        <c:noMultiLvlLbl val="0"/>
      </c:catAx>
      <c:valAx>
        <c:axId val="172587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Mililiters</a:t>
                </a:r>
                <a:r>
                  <a:rPr lang="en-US" baseline="0"/>
                  <a:t> per Hour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88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273050</xdr:colOff>
      <xdr:row>0</xdr:row>
      <xdr:rowOff>31750</xdr:rowOff>
    </xdr:from>
    <xdr:to>
      <xdr:col>15</xdr:col>
      <xdr:colOff>292100</xdr:colOff>
      <xdr:row>22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CFF73-31A1-439F-AB48-8C77C7C89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241300</xdr:colOff>
      <xdr:row>24</xdr:row>
      <xdr:rowOff>31750</xdr:rowOff>
    </xdr:from>
    <xdr:to>
      <xdr:col>15</xdr:col>
      <xdr:colOff>263526</xdr:colOff>
      <xdr:row>47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ACCF6A-0452-44AF-9C7B-B7AB94733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606425</xdr:colOff>
      <xdr:row>13</xdr:row>
      <xdr:rowOff>69850</xdr:rowOff>
    </xdr:from>
    <xdr:to>
      <xdr:col>20</xdr:col>
      <xdr:colOff>301625</xdr:colOff>
      <xdr:row>28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DCB032-BA5C-C9C8-7E59-D9F2B6600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174625</xdr:colOff>
      <xdr:row>21</xdr:row>
      <xdr:rowOff>15875</xdr:rowOff>
    </xdr:from>
    <xdr:to>
      <xdr:col>19</xdr:col>
      <xdr:colOff>479425</xdr:colOff>
      <xdr:row>35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F73137-258C-4E4C-E1F2-E0BC653F7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174625</xdr:colOff>
      <xdr:row>21</xdr:row>
      <xdr:rowOff>12700</xdr:rowOff>
    </xdr:from>
    <xdr:to>
      <xdr:col>19</xdr:col>
      <xdr:colOff>479425</xdr:colOff>
      <xdr:row>35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9A80AA-7F6C-1348-709B-E4B2A3C62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raham" refreshedDate="45989.011757870372" createdVersion="8" refreshedVersion="8" minRefreshableVersion="3" recordCount="89" xr:uid="{7AD032AC-9FE0-4368-944E-48D5571F5B53}">
  <cacheSource type="worksheet">
    <worksheetSource ref="A1:D90" sheet="Sheet1"/>
  </cacheSource>
  <cacheFields count="4">
    <cacheField name="Date" numFmtId="16">
      <sharedItems containsSemiMixedTypes="0" containsNonDate="0" containsDate="1" containsString="0" minDate="2025-11-04T00:00:00" maxDate="2025-11-19T00:00:00"/>
    </cacheField>
    <cacheField name="Time" numFmtId="20">
      <sharedItems containsSemiMixedTypes="0" containsNonDate="0" containsDate="1" containsString="0" minDate="1899-12-30T00:12:00" maxDate="1899-12-30T21:30:00"/>
    </cacheField>
    <cacheField name="drank" numFmtId="0">
      <sharedItems containsSemiMixedTypes="0" containsString="0" containsNumber="1" containsInteger="1" minValue="81" maxValue="725"/>
    </cacheField>
    <cacheField name="AtWork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raham" refreshedDate="45989.014416087964" createdVersion="8" refreshedVersion="8" minRefreshableVersion="3" recordCount="54" xr:uid="{9843FF1E-654B-44BB-87EE-A315AB1F5C46}">
  <cacheSource type="worksheet">
    <worksheetSource ref="A1:D55" sheet="Sheet3"/>
  </cacheSource>
  <cacheFields count="4">
    <cacheField name="Date" numFmtId="16">
      <sharedItems containsSemiMixedTypes="0" containsNonDate="0" containsDate="1" containsString="0" minDate="2025-11-04T00:00:00" maxDate="2025-11-19T00:00:00"/>
    </cacheField>
    <cacheField name="Time" numFmtId="20">
      <sharedItems containsSemiMixedTypes="0" containsNonDate="0" containsDate="1" containsString="0" minDate="1899-12-30T02:48:00" maxDate="1899-12-30T15:58:00"/>
    </cacheField>
    <cacheField name="drank" numFmtId="0">
      <sharedItems containsSemiMixedTypes="0" containsString="0" containsNumber="1" containsInteger="1" minValue="112" maxValue="725"/>
    </cacheField>
    <cacheField name="AtWork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d v="2025-11-04T00:00:00"/>
    <d v="1899-12-30T08:06:00"/>
    <n v="294"/>
    <x v="0"/>
  </r>
  <r>
    <d v="2025-11-04T00:00:00"/>
    <d v="1899-12-30T08:24:00"/>
    <n v="192"/>
    <x v="0"/>
  </r>
  <r>
    <d v="2025-11-04T00:00:00"/>
    <d v="1899-12-30T10:19:00"/>
    <n v="351"/>
    <x v="0"/>
  </r>
  <r>
    <d v="2025-11-04T00:00:00"/>
    <d v="1899-12-30T11:53:00"/>
    <n v="196"/>
    <x v="0"/>
  </r>
  <r>
    <d v="2025-11-04T00:00:00"/>
    <d v="1899-12-30T13:25:00"/>
    <n v="280"/>
    <x v="0"/>
  </r>
  <r>
    <d v="2025-11-04T00:00:00"/>
    <d v="1899-12-30T14:43:00"/>
    <n v="223"/>
    <x v="0"/>
  </r>
  <r>
    <d v="2025-11-04T00:00:00"/>
    <d v="1899-12-30T16:25:00"/>
    <n v="239"/>
    <x v="1"/>
  </r>
  <r>
    <d v="2025-11-04T00:00:00"/>
    <d v="1899-12-30T16:48:00"/>
    <n v="227"/>
    <x v="1"/>
  </r>
  <r>
    <d v="2025-11-04T00:00:00"/>
    <d v="1899-12-30T17:09:00"/>
    <n v="411"/>
    <x v="1"/>
  </r>
  <r>
    <d v="2025-11-04T00:00:00"/>
    <d v="1899-12-30T18:33:00"/>
    <n v="184"/>
    <x v="1"/>
  </r>
  <r>
    <d v="2025-11-04T00:00:00"/>
    <d v="1899-12-30T18:41:00"/>
    <n v="439"/>
    <x v="1"/>
  </r>
  <r>
    <d v="2025-11-05T00:00:00"/>
    <d v="1899-12-30T07:28:00"/>
    <n v="415"/>
    <x v="0"/>
  </r>
  <r>
    <d v="2025-11-05T00:00:00"/>
    <d v="1899-12-30T10:52:00"/>
    <n v="114"/>
    <x v="0"/>
  </r>
  <r>
    <d v="2025-11-05T00:00:00"/>
    <d v="1899-12-30T12:34:00"/>
    <n v="282"/>
    <x v="0"/>
  </r>
  <r>
    <d v="2025-11-05T00:00:00"/>
    <d v="1899-12-30T14:19:00"/>
    <n v="234"/>
    <x v="0"/>
  </r>
  <r>
    <d v="2025-11-05T00:00:00"/>
    <d v="1899-12-30T17:49:00"/>
    <n v="352"/>
    <x v="1"/>
  </r>
  <r>
    <d v="2025-11-06T00:00:00"/>
    <d v="1899-12-30T08:52:00"/>
    <n v="506"/>
    <x v="0"/>
  </r>
  <r>
    <d v="2025-11-06T00:00:00"/>
    <d v="1899-12-30T13:11:00"/>
    <n v="473"/>
    <x v="0"/>
  </r>
  <r>
    <d v="2025-11-06T00:00:00"/>
    <d v="1899-12-30T16:53:00"/>
    <n v="590"/>
    <x v="1"/>
  </r>
  <r>
    <d v="2025-11-06T00:00:00"/>
    <d v="1899-12-30T17:14:00"/>
    <n v="478"/>
    <x v="1"/>
  </r>
  <r>
    <d v="2025-11-07T00:00:00"/>
    <d v="1899-12-30T12:30:00"/>
    <n v="506"/>
    <x v="0"/>
  </r>
  <r>
    <d v="2025-11-07T00:00:00"/>
    <d v="1899-12-30T13:43:00"/>
    <n v="473"/>
    <x v="0"/>
  </r>
  <r>
    <d v="2025-11-07T00:00:00"/>
    <d v="1899-12-30T15:25:00"/>
    <n v="81"/>
    <x v="1"/>
  </r>
  <r>
    <d v="2025-11-07T00:00:00"/>
    <d v="1899-12-30T15:40:00"/>
    <n v="208"/>
    <x v="1"/>
  </r>
  <r>
    <d v="2025-11-07T00:00:00"/>
    <d v="1899-12-30T15:52:00"/>
    <n v="221"/>
    <x v="1"/>
  </r>
  <r>
    <d v="2025-11-07T00:00:00"/>
    <d v="1899-12-30T16:05:00"/>
    <n v="258"/>
    <x v="1"/>
  </r>
  <r>
    <d v="2025-11-07T00:00:00"/>
    <d v="1899-12-30T17:01:00"/>
    <n v="301"/>
    <x v="1"/>
  </r>
  <r>
    <d v="2025-11-07T00:00:00"/>
    <d v="1899-12-30T20:09:00"/>
    <n v="308"/>
    <x v="1"/>
  </r>
  <r>
    <d v="2025-11-08T00:00:00"/>
    <d v="1899-12-30T08:58:00"/>
    <n v="607"/>
    <x v="1"/>
  </r>
  <r>
    <d v="2025-11-08T00:00:00"/>
    <d v="1899-12-30T10:49:00"/>
    <n v="423"/>
    <x v="1"/>
  </r>
  <r>
    <d v="2025-11-08T00:00:00"/>
    <d v="1899-12-30T15:58:00"/>
    <n v="261"/>
    <x v="1"/>
  </r>
  <r>
    <d v="2025-11-08T00:00:00"/>
    <d v="1899-12-30T19:18:00"/>
    <n v="413"/>
    <x v="1"/>
  </r>
  <r>
    <d v="2025-11-08T00:00:00"/>
    <d v="1899-12-30T20:31:00"/>
    <n v="300"/>
    <x v="1"/>
  </r>
  <r>
    <d v="2025-11-09T00:00:00"/>
    <d v="1899-12-30T00:12:00"/>
    <n v="131"/>
    <x v="1"/>
  </r>
  <r>
    <d v="2025-11-09T00:00:00"/>
    <d v="1899-12-30T14:35:00"/>
    <n v="378"/>
    <x v="1"/>
  </r>
  <r>
    <d v="2025-11-09T00:00:00"/>
    <d v="1899-12-30T15:58:00"/>
    <n v="533"/>
    <x v="1"/>
  </r>
  <r>
    <d v="2025-11-09T00:00:00"/>
    <d v="1899-12-30T18:20:00"/>
    <n v="431"/>
    <x v="1"/>
  </r>
  <r>
    <d v="2025-11-09T00:00:00"/>
    <d v="1899-12-30T18:45:00"/>
    <n v="493"/>
    <x v="1"/>
  </r>
  <r>
    <d v="2025-11-09T00:00:00"/>
    <d v="1899-12-30T19:07:00"/>
    <n v="409"/>
    <x v="1"/>
  </r>
  <r>
    <d v="2025-11-09T00:00:00"/>
    <d v="1899-12-30T19:47:00"/>
    <n v="234"/>
    <x v="1"/>
  </r>
  <r>
    <d v="2025-11-10T00:00:00"/>
    <d v="1899-12-30T08:42:00"/>
    <n v="353"/>
    <x v="0"/>
  </r>
  <r>
    <d v="2025-11-10T00:00:00"/>
    <d v="1899-12-30T09:48:00"/>
    <n v="163"/>
    <x v="0"/>
  </r>
  <r>
    <d v="2025-11-10T00:00:00"/>
    <d v="1899-12-30T10:07:00"/>
    <n v="340"/>
    <x v="0"/>
  </r>
  <r>
    <d v="2025-11-10T00:00:00"/>
    <d v="1899-12-30T11:24:00"/>
    <n v="175"/>
    <x v="0"/>
  </r>
  <r>
    <d v="2025-11-10T00:00:00"/>
    <d v="1899-12-30T12:47:00"/>
    <n v="346"/>
    <x v="0"/>
  </r>
  <r>
    <d v="2025-11-10T00:00:00"/>
    <d v="1899-12-30T13:00:00"/>
    <n v="112"/>
    <x v="0"/>
  </r>
  <r>
    <d v="2025-11-10T00:00:00"/>
    <d v="1899-12-30T13:26:00"/>
    <n v="353"/>
    <x v="0"/>
  </r>
  <r>
    <d v="2025-11-10T00:00:00"/>
    <d v="1899-12-30T14:39:00"/>
    <n v="147"/>
    <x v="0"/>
  </r>
  <r>
    <d v="2025-11-10T00:00:00"/>
    <d v="1899-12-30T21:13:00"/>
    <n v="476"/>
    <x v="1"/>
  </r>
  <r>
    <d v="2025-11-11T00:00:00"/>
    <d v="1899-12-30T08:16:00"/>
    <n v="433"/>
    <x v="1"/>
  </r>
  <r>
    <d v="2025-11-11T00:00:00"/>
    <d v="1899-12-30T13:26:00"/>
    <n v="257"/>
    <x v="1"/>
  </r>
  <r>
    <d v="2025-11-11T00:00:00"/>
    <d v="1899-12-30T13:47:00"/>
    <n v="404"/>
    <x v="1"/>
  </r>
  <r>
    <d v="2025-11-11T00:00:00"/>
    <d v="1899-12-30T13:55:00"/>
    <n v="442"/>
    <x v="1"/>
  </r>
  <r>
    <d v="2025-11-11T00:00:00"/>
    <d v="1899-12-30T14:36:00"/>
    <n v="304"/>
    <x v="1"/>
  </r>
  <r>
    <d v="2025-11-11T00:00:00"/>
    <d v="1899-12-30T15:18:00"/>
    <n v="437"/>
    <x v="1"/>
  </r>
  <r>
    <d v="2025-11-11T00:00:00"/>
    <d v="1899-12-30T16:50:00"/>
    <n v="323"/>
    <x v="1"/>
  </r>
  <r>
    <d v="2025-11-11T00:00:00"/>
    <d v="1899-12-30T21:30:00"/>
    <n v="364"/>
    <x v="1"/>
  </r>
  <r>
    <d v="2025-11-12T00:00:00"/>
    <d v="1899-12-30T11:59:00"/>
    <n v="537"/>
    <x v="1"/>
  </r>
  <r>
    <d v="2025-11-12T00:00:00"/>
    <d v="1899-12-30T13:31:00"/>
    <n v="399"/>
    <x v="1"/>
  </r>
  <r>
    <d v="2025-11-12T00:00:00"/>
    <d v="1899-12-30T17:59:00"/>
    <n v="258"/>
    <x v="1"/>
  </r>
  <r>
    <d v="2025-11-12T00:00:00"/>
    <d v="1899-12-30T18:23:00"/>
    <n v="539"/>
    <x v="1"/>
  </r>
  <r>
    <d v="2025-11-12T00:00:00"/>
    <d v="1899-12-30T18:36:00"/>
    <n v="429"/>
    <x v="1"/>
  </r>
  <r>
    <d v="2025-11-13T00:00:00"/>
    <d v="1899-12-30T10:13:00"/>
    <n v="519"/>
    <x v="1"/>
  </r>
  <r>
    <d v="2025-11-13T00:00:00"/>
    <d v="1899-12-30T12:08:00"/>
    <n v="378"/>
    <x v="1"/>
  </r>
  <r>
    <d v="2025-11-13T00:00:00"/>
    <d v="1899-12-30T13:00:00"/>
    <n v="270"/>
    <x v="1"/>
  </r>
  <r>
    <d v="2025-11-13T00:00:00"/>
    <d v="1899-12-30T14:46:00"/>
    <n v="482"/>
    <x v="1"/>
  </r>
  <r>
    <d v="2025-11-13T00:00:00"/>
    <d v="1899-12-30T17:04:00"/>
    <n v="397"/>
    <x v="1"/>
  </r>
  <r>
    <d v="2025-11-13T00:00:00"/>
    <d v="1899-12-30T21:23:00"/>
    <n v="318"/>
    <x v="1"/>
  </r>
  <r>
    <d v="2025-11-14T00:00:00"/>
    <d v="1899-12-30T11:22:00"/>
    <n v="559"/>
    <x v="1"/>
  </r>
  <r>
    <d v="2025-11-14T00:00:00"/>
    <d v="1899-12-30T16:32:00"/>
    <n v="528"/>
    <x v="1"/>
  </r>
  <r>
    <d v="2025-11-15T00:00:00"/>
    <d v="1899-12-30T09:21:00"/>
    <n v="725"/>
    <x v="1"/>
  </r>
  <r>
    <d v="2025-11-15T00:00:00"/>
    <d v="1899-12-30T09:43:00"/>
    <n v="411"/>
    <x v="1"/>
  </r>
  <r>
    <d v="2025-11-15T00:00:00"/>
    <d v="1899-12-30T02:17:00"/>
    <n v="240"/>
    <x v="1"/>
  </r>
  <r>
    <d v="2025-11-15T00:00:00"/>
    <d v="1899-12-30T03:02:00"/>
    <n v="630"/>
    <x v="1"/>
  </r>
  <r>
    <d v="2025-11-15T00:00:00"/>
    <d v="1899-12-30T05:32:00"/>
    <n v="444"/>
    <x v="1"/>
  </r>
  <r>
    <d v="2025-11-17T00:00:00"/>
    <d v="1899-12-30T08:13:00"/>
    <n v="243"/>
    <x v="0"/>
  </r>
  <r>
    <d v="2025-11-17T00:00:00"/>
    <d v="1899-12-30T08:52:00"/>
    <n v="267"/>
    <x v="0"/>
  </r>
  <r>
    <d v="2025-11-17T00:00:00"/>
    <d v="1899-12-30T09:13:00"/>
    <n v="140"/>
    <x v="0"/>
  </r>
  <r>
    <d v="2025-11-17T00:00:00"/>
    <d v="1899-12-30T09:48:00"/>
    <n v="286"/>
    <x v="0"/>
  </r>
  <r>
    <d v="2025-11-17T00:00:00"/>
    <d v="1899-12-30T11:26:00"/>
    <n v="122"/>
    <x v="0"/>
  </r>
  <r>
    <d v="2025-11-17T00:00:00"/>
    <d v="1899-12-30T01:33:00"/>
    <n v="291"/>
    <x v="0"/>
  </r>
  <r>
    <d v="2025-11-17T00:00:00"/>
    <d v="1899-12-30T03:42:00"/>
    <n v="184"/>
    <x v="0"/>
  </r>
  <r>
    <d v="2025-11-17T00:00:00"/>
    <d v="1899-12-30T07:36:00"/>
    <n v="627"/>
    <x v="1"/>
  </r>
  <r>
    <d v="2025-11-18T00:00:00"/>
    <d v="1899-12-30T08:09:00"/>
    <n v="325"/>
    <x v="0"/>
  </r>
  <r>
    <d v="2025-11-18T00:00:00"/>
    <d v="1899-12-30T09:10:00"/>
    <n v="164"/>
    <x v="0"/>
  </r>
  <r>
    <d v="2025-11-18T00:00:00"/>
    <d v="1899-12-30T11:27:00"/>
    <n v="247"/>
    <x v="0"/>
  </r>
  <r>
    <d v="2025-11-18T00:00:00"/>
    <d v="1899-12-30T02:48:00"/>
    <n v="255"/>
    <x v="0"/>
  </r>
  <r>
    <d v="2025-11-18T00:00:00"/>
    <d v="1899-12-30T08:18:00"/>
    <n v="321"/>
    <x v="1"/>
  </r>
  <r>
    <d v="2025-11-18T00:00:00"/>
    <d v="1899-12-30T08:28:00"/>
    <n v="64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d v="2025-11-04T00:00:00"/>
    <d v="1899-12-30T08:06:00"/>
    <n v="294"/>
    <x v="0"/>
  </r>
  <r>
    <d v="2025-11-04T00:00:00"/>
    <d v="1899-12-30T08:24:00"/>
    <n v="192"/>
    <x v="0"/>
  </r>
  <r>
    <d v="2025-11-04T00:00:00"/>
    <d v="1899-12-30T10:19:00"/>
    <n v="351"/>
    <x v="0"/>
  </r>
  <r>
    <d v="2025-11-04T00:00:00"/>
    <d v="1899-12-30T11:53:00"/>
    <n v="196"/>
    <x v="0"/>
  </r>
  <r>
    <d v="2025-11-04T00:00:00"/>
    <d v="1899-12-30T13:25:00"/>
    <n v="280"/>
    <x v="0"/>
  </r>
  <r>
    <d v="2025-11-04T00:00:00"/>
    <d v="1899-12-30T14:43:00"/>
    <n v="223"/>
    <x v="0"/>
  </r>
  <r>
    <d v="2025-11-05T00:00:00"/>
    <d v="1899-12-30T07:28:00"/>
    <n v="415"/>
    <x v="0"/>
  </r>
  <r>
    <d v="2025-11-05T00:00:00"/>
    <d v="1899-12-30T10:52:00"/>
    <n v="114"/>
    <x v="0"/>
  </r>
  <r>
    <d v="2025-11-05T00:00:00"/>
    <d v="1899-12-30T12:34:00"/>
    <n v="282"/>
    <x v="0"/>
  </r>
  <r>
    <d v="2025-11-05T00:00:00"/>
    <d v="1899-12-30T14:19:00"/>
    <n v="234"/>
    <x v="0"/>
  </r>
  <r>
    <d v="2025-11-06T00:00:00"/>
    <d v="1899-12-30T08:52:00"/>
    <n v="506"/>
    <x v="0"/>
  </r>
  <r>
    <d v="2025-11-06T00:00:00"/>
    <d v="1899-12-30T13:11:00"/>
    <n v="473"/>
    <x v="0"/>
  </r>
  <r>
    <d v="2025-11-07T00:00:00"/>
    <d v="1899-12-30T12:30:00"/>
    <n v="506"/>
    <x v="0"/>
  </r>
  <r>
    <d v="2025-11-07T00:00:00"/>
    <d v="1899-12-30T13:43:00"/>
    <n v="473"/>
    <x v="0"/>
  </r>
  <r>
    <d v="2025-11-08T00:00:00"/>
    <d v="1899-12-30T08:58:00"/>
    <n v="607"/>
    <x v="1"/>
  </r>
  <r>
    <d v="2025-11-08T00:00:00"/>
    <d v="1899-12-30T10:49:00"/>
    <n v="423"/>
    <x v="1"/>
  </r>
  <r>
    <d v="2025-11-08T00:00:00"/>
    <d v="1899-12-30T15:58:00"/>
    <n v="261"/>
    <x v="1"/>
  </r>
  <r>
    <d v="2025-11-09T00:00:00"/>
    <d v="1899-12-30T14:35:00"/>
    <n v="378"/>
    <x v="1"/>
  </r>
  <r>
    <d v="2025-11-09T00:00:00"/>
    <d v="1899-12-30T15:58:00"/>
    <n v="533"/>
    <x v="1"/>
  </r>
  <r>
    <d v="2025-11-10T00:00:00"/>
    <d v="1899-12-30T08:42:00"/>
    <n v="353"/>
    <x v="0"/>
  </r>
  <r>
    <d v="2025-11-10T00:00:00"/>
    <d v="1899-12-30T09:48:00"/>
    <n v="163"/>
    <x v="0"/>
  </r>
  <r>
    <d v="2025-11-10T00:00:00"/>
    <d v="1899-12-30T10:07:00"/>
    <n v="340"/>
    <x v="0"/>
  </r>
  <r>
    <d v="2025-11-10T00:00:00"/>
    <d v="1899-12-30T11:24:00"/>
    <n v="175"/>
    <x v="0"/>
  </r>
  <r>
    <d v="2025-11-10T00:00:00"/>
    <d v="1899-12-30T12:47:00"/>
    <n v="346"/>
    <x v="0"/>
  </r>
  <r>
    <d v="2025-11-10T00:00:00"/>
    <d v="1899-12-30T13:00:00"/>
    <n v="112"/>
    <x v="0"/>
  </r>
  <r>
    <d v="2025-11-10T00:00:00"/>
    <d v="1899-12-30T13:26:00"/>
    <n v="353"/>
    <x v="0"/>
  </r>
  <r>
    <d v="2025-11-10T00:00:00"/>
    <d v="1899-12-30T14:39:00"/>
    <n v="147"/>
    <x v="0"/>
  </r>
  <r>
    <d v="2025-11-11T00:00:00"/>
    <d v="1899-12-30T08:16:00"/>
    <n v="433"/>
    <x v="1"/>
  </r>
  <r>
    <d v="2025-11-11T00:00:00"/>
    <d v="1899-12-30T13:26:00"/>
    <n v="257"/>
    <x v="1"/>
  </r>
  <r>
    <d v="2025-11-11T00:00:00"/>
    <d v="1899-12-30T13:47:00"/>
    <n v="404"/>
    <x v="1"/>
  </r>
  <r>
    <d v="2025-11-11T00:00:00"/>
    <d v="1899-12-30T13:55:00"/>
    <n v="442"/>
    <x v="1"/>
  </r>
  <r>
    <d v="2025-11-11T00:00:00"/>
    <d v="1899-12-30T14:36:00"/>
    <n v="304"/>
    <x v="1"/>
  </r>
  <r>
    <d v="2025-11-11T00:00:00"/>
    <d v="1899-12-30T15:18:00"/>
    <n v="437"/>
    <x v="1"/>
  </r>
  <r>
    <d v="2025-11-12T00:00:00"/>
    <d v="1899-12-30T11:59:00"/>
    <n v="537"/>
    <x v="1"/>
  </r>
  <r>
    <d v="2025-11-12T00:00:00"/>
    <d v="1899-12-30T13:31:00"/>
    <n v="399"/>
    <x v="1"/>
  </r>
  <r>
    <d v="2025-11-13T00:00:00"/>
    <d v="1899-12-30T10:13:00"/>
    <n v="519"/>
    <x v="1"/>
  </r>
  <r>
    <d v="2025-11-13T00:00:00"/>
    <d v="1899-12-30T12:08:00"/>
    <n v="378"/>
    <x v="1"/>
  </r>
  <r>
    <d v="2025-11-13T00:00:00"/>
    <d v="1899-12-30T13:00:00"/>
    <n v="270"/>
    <x v="1"/>
  </r>
  <r>
    <d v="2025-11-13T00:00:00"/>
    <d v="1899-12-30T14:46:00"/>
    <n v="482"/>
    <x v="1"/>
  </r>
  <r>
    <d v="2025-11-14T00:00:00"/>
    <d v="1899-12-30T11:22:00"/>
    <n v="559"/>
    <x v="1"/>
  </r>
  <r>
    <d v="2025-11-15T00:00:00"/>
    <d v="1899-12-30T09:21:00"/>
    <n v="725"/>
    <x v="1"/>
  </r>
  <r>
    <d v="2025-11-15T00:00:00"/>
    <d v="1899-12-30T09:43:00"/>
    <n v="411"/>
    <x v="1"/>
  </r>
  <r>
    <d v="2025-11-15T00:00:00"/>
    <d v="1899-12-30T14:17:00"/>
    <n v="240"/>
    <x v="1"/>
  </r>
  <r>
    <d v="2025-11-17T00:00:00"/>
    <d v="1899-12-30T08:13:00"/>
    <n v="243"/>
    <x v="0"/>
  </r>
  <r>
    <d v="2025-11-17T00:00:00"/>
    <d v="1899-12-30T08:52:00"/>
    <n v="267"/>
    <x v="0"/>
  </r>
  <r>
    <d v="2025-11-17T00:00:00"/>
    <d v="1899-12-30T09:13:00"/>
    <n v="140"/>
    <x v="0"/>
  </r>
  <r>
    <d v="2025-11-17T00:00:00"/>
    <d v="1899-12-30T09:48:00"/>
    <n v="286"/>
    <x v="0"/>
  </r>
  <r>
    <d v="2025-11-17T00:00:00"/>
    <d v="1899-12-30T11:26:00"/>
    <n v="122"/>
    <x v="0"/>
  </r>
  <r>
    <d v="2025-11-17T00:00:00"/>
    <d v="1899-12-30T13:33:00"/>
    <n v="291"/>
    <x v="0"/>
  </r>
  <r>
    <d v="2025-11-17T00:00:00"/>
    <d v="1899-12-30T15:42:00"/>
    <n v="184"/>
    <x v="0"/>
  </r>
  <r>
    <d v="2025-11-18T00:00:00"/>
    <d v="1899-12-30T08:09:00"/>
    <n v="325"/>
    <x v="0"/>
  </r>
  <r>
    <d v="2025-11-18T00:00:00"/>
    <d v="1899-12-30T09:10:00"/>
    <n v="164"/>
    <x v="0"/>
  </r>
  <r>
    <d v="2025-11-18T00:00:00"/>
    <d v="1899-12-30T11:27:00"/>
    <n v="247"/>
    <x v="0"/>
  </r>
  <r>
    <d v="2025-11-18T00:00:00"/>
    <d v="1899-12-30T02:48:00"/>
    <n v="25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21A74-1B40-407A-AAD9-19FFD2943E0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4">
    <pivotField numFmtId="16" showAll="0"/>
    <pivotField numFmtId="20"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drank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D6C7F-43F1-4D78-9453-08A449D52DD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4">
    <pivotField numFmtId="16" showAll="0"/>
    <pivotField numFmtId="20"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drank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D872-4D26-41D5-B7F0-23F8F5FB9575}">
  <dimension ref="A1:D225"/>
  <sheetViews>
    <sheetView workbookViewId="0">
      <selection activeCell="L3" sqref="L3"/>
    </sheetView>
  </sheetViews>
  <sheetFormatPr defaultRowHeight="14.5" x14ac:dyDescent="0.35"/>
  <sheetData>
    <row r="1" spans="1:4" x14ac:dyDescent="0.35">
      <c r="A1" t="s">
        <v>3</v>
      </c>
      <c r="B1" t="s">
        <v>13</v>
      </c>
      <c r="C1" t="s">
        <v>14</v>
      </c>
      <c r="D1" t="s">
        <v>2</v>
      </c>
    </row>
    <row r="2" spans="1:4" x14ac:dyDescent="0.35">
      <c r="A2" s="2">
        <v>45965</v>
      </c>
      <c r="B2">
        <v>8</v>
      </c>
      <c r="C2">
        <v>486</v>
      </c>
      <c r="D2" t="b">
        <v>1</v>
      </c>
    </row>
    <row r="3" spans="1:4" x14ac:dyDescent="0.35">
      <c r="A3" s="2">
        <v>45965</v>
      </c>
      <c r="B3">
        <v>9</v>
      </c>
      <c r="C3">
        <v>0</v>
      </c>
      <c r="D3" t="b">
        <v>1</v>
      </c>
    </row>
    <row r="4" spans="1:4" x14ac:dyDescent="0.35">
      <c r="A4" s="2">
        <v>45965</v>
      </c>
      <c r="B4">
        <v>10</v>
      </c>
      <c r="C4">
        <v>351</v>
      </c>
      <c r="D4" t="b">
        <v>1</v>
      </c>
    </row>
    <row r="5" spans="1:4" x14ac:dyDescent="0.35">
      <c r="A5" s="2">
        <v>45965</v>
      </c>
      <c r="B5">
        <v>11</v>
      </c>
      <c r="C5">
        <v>196</v>
      </c>
      <c r="D5" t="b">
        <v>1</v>
      </c>
    </row>
    <row r="6" spans="1:4" x14ac:dyDescent="0.35">
      <c r="A6" s="2">
        <v>45965</v>
      </c>
      <c r="B6">
        <v>12</v>
      </c>
      <c r="C6">
        <v>0</v>
      </c>
      <c r="D6" t="b">
        <v>1</v>
      </c>
    </row>
    <row r="7" spans="1:4" x14ac:dyDescent="0.35">
      <c r="A7" s="2">
        <v>45965</v>
      </c>
      <c r="B7">
        <v>13</v>
      </c>
      <c r="C7">
        <v>280</v>
      </c>
      <c r="D7" t="b">
        <v>1</v>
      </c>
    </row>
    <row r="8" spans="1:4" x14ac:dyDescent="0.35">
      <c r="A8" s="2">
        <v>45965</v>
      </c>
      <c r="B8">
        <v>14</v>
      </c>
      <c r="C8">
        <v>223</v>
      </c>
      <c r="D8" t="b">
        <v>1</v>
      </c>
    </row>
    <row r="9" spans="1:4" x14ac:dyDescent="0.35">
      <c r="A9" s="2">
        <v>45965</v>
      </c>
      <c r="B9">
        <v>15</v>
      </c>
      <c r="C9">
        <v>0</v>
      </c>
      <c r="D9" t="b">
        <v>1</v>
      </c>
    </row>
    <row r="10" spans="1:4" x14ac:dyDescent="0.35">
      <c r="A10" s="2">
        <v>45965</v>
      </c>
      <c r="B10">
        <v>16</v>
      </c>
      <c r="C10">
        <v>466</v>
      </c>
      <c r="D10" t="b">
        <v>0</v>
      </c>
    </row>
    <row r="11" spans="1:4" x14ac:dyDescent="0.35">
      <c r="A11" s="2">
        <v>45965</v>
      </c>
      <c r="B11">
        <v>17</v>
      </c>
      <c r="C11">
        <v>411</v>
      </c>
      <c r="D11" t="b">
        <v>0</v>
      </c>
    </row>
    <row r="12" spans="1:4" x14ac:dyDescent="0.35">
      <c r="A12" s="2">
        <v>45965</v>
      </c>
      <c r="B12">
        <v>18</v>
      </c>
      <c r="C12">
        <v>623</v>
      </c>
      <c r="D12" t="b">
        <v>0</v>
      </c>
    </row>
    <row r="13" spans="1:4" x14ac:dyDescent="0.35">
      <c r="A13" s="2">
        <v>45965</v>
      </c>
      <c r="B13">
        <v>19</v>
      </c>
      <c r="C13">
        <v>0</v>
      </c>
      <c r="D13" t="b">
        <v>0</v>
      </c>
    </row>
    <row r="14" spans="1:4" x14ac:dyDescent="0.35">
      <c r="A14" s="2">
        <v>45965</v>
      </c>
      <c r="B14">
        <v>20</v>
      </c>
      <c r="C14">
        <v>0</v>
      </c>
      <c r="D14" t="b">
        <v>0</v>
      </c>
    </row>
    <row r="15" spans="1:4" x14ac:dyDescent="0.35">
      <c r="A15" s="2">
        <v>45965</v>
      </c>
      <c r="B15">
        <v>21</v>
      </c>
      <c r="C15">
        <v>0</v>
      </c>
      <c r="D15" t="b">
        <v>0</v>
      </c>
    </row>
    <row r="16" spans="1:4" x14ac:dyDescent="0.35">
      <c r="A16" s="2">
        <v>45965</v>
      </c>
      <c r="B16">
        <v>22</v>
      </c>
      <c r="C16">
        <v>0</v>
      </c>
      <c r="D16" t="b">
        <v>0</v>
      </c>
    </row>
    <row r="17" spans="1:4" x14ac:dyDescent="0.35">
      <c r="A17" s="2">
        <v>45965</v>
      </c>
      <c r="B17">
        <v>23</v>
      </c>
      <c r="C17">
        <v>0</v>
      </c>
      <c r="D17" t="b">
        <v>0</v>
      </c>
    </row>
    <row r="18" spans="1:4" x14ac:dyDescent="0.35">
      <c r="A18" s="2">
        <v>45966</v>
      </c>
      <c r="B18">
        <v>8</v>
      </c>
      <c r="C18">
        <v>415</v>
      </c>
      <c r="D18" t="b">
        <v>1</v>
      </c>
    </row>
    <row r="19" spans="1:4" x14ac:dyDescent="0.35">
      <c r="A19" s="2">
        <v>45966</v>
      </c>
      <c r="B19">
        <v>9</v>
      </c>
      <c r="C19">
        <v>0</v>
      </c>
      <c r="D19" t="b">
        <v>1</v>
      </c>
    </row>
    <row r="20" spans="1:4" x14ac:dyDescent="0.35">
      <c r="A20" s="2">
        <v>45966</v>
      </c>
      <c r="B20">
        <v>10</v>
      </c>
      <c r="C20">
        <v>114</v>
      </c>
      <c r="D20" t="b">
        <v>1</v>
      </c>
    </row>
    <row r="21" spans="1:4" x14ac:dyDescent="0.35">
      <c r="A21" s="2">
        <v>45966</v>
      </c>
      <c r="B21">
        <v>11</v>
      </c>
      <c r="C21">
        <v>0</v>
      </c>
      <c r="D21" t="b">
        <v>1</v>
      </c>
    </row>
    <row r="22" spans="1:4" x14ac:dyDescent="0.35">
      <c r="A22" s="2">
        <v>45966</v>
      </c>
      <c r="B22">
        <v>12</v>
      </c>
      <c r="C22">
        <v>282</v>
      </c>
      <c r="D22" t="b">
        <v>1</v>
      </c>
    </row>
    <row r="23" spans="1:4" x14ac:dyDescent="0.35">
      <c r="A23" s="2">
        <v>45966</v>
      </c>
      <c r="B23">
        <v>13</v>
      </c>
      <c r="C23">
        <v>0</v>
      </c>
      <c r="D23" t="b">
        <v>1</v>
      </c>
    </row>
    <row r="24" spans="1:4" x14ac:dyDescent="0.35">
      <c r="A24" s="2">
        <v>45966</v>
      </c>
      <c r="B24">
        <v>14</v>
      </c>
      <c r="C24">
        <v>234</v>
      </c>
      <c r="D24" t="b">
        <v>1</v>
      </c>
    </row>
    <row r="25" spans="1:4" x14ac:dyDescent="0.35">
      <c r="A25" s="2">
        <v>45966</v>
      </c>
      <c r="B25">
        <v>15</v>
      </c>
      <c r="C25">
        <v>0</v>
      </c>
      <c r="D25" t="b">
        <v>1</v>
      </c>
    </row>
    <row r="26" spans="1:4" x14ac:dyDescent="0.35">
      <c r="A26" s="2">
        <v>45966</v>
      </c>
      <c r="B26">
        <v>16</v>
      </c>
      <c r="C26">
        <v>0</v>
      </c>
      <c r="D26" t="b">
        <v>0</v>
      </c>
    </row>
    <row r="27" spans="1:4" x14ac:dyDescent="0.35">
      <c r="A27" s="2">
        <v>45966</v>
      </c>
      <c r="B27">
        <v>17</v>
      </c>
      <c r="C27">
        <v>352</v>
      </c>
      <c r="D27" t="b">
        <v>0</v>
      </c>
    </row>
    <row r="28" spans="1:4" x14ac:dyDescent="0.35">
      <c r="A28" s="2">
        <v>45966</v>
      </c>
      <c r="B28">
        <v>18</v>
      </c>
      <c r="C28">
        <v>0</v>
      </c>
      <c r="D28" t="b">
        <v>0</v>
      </c>
    </row>
    <row r="29" spans="1:4" x14ac:dyDescent="0.35">
      <c r="A29" s="2">
        <v>45966</v>
      </c>
      <c r="B29">
        <v>19</v>
      </c>
      <c r="C29">
        <v>0</v>
      </c>
      <c r="D29" t="b">
        <v>0</v>
      </c>
    </row>
    <row r="30" spans="1:4" x14ac:dyDescent="0.35">
      <c r="A30" s="2">
        <v>45966</v>
      </c>
      <c r="B30">
        <v>20</v>
      </c>
      <c r="C30">
        <v>0</v>
      </c>
      <c r="D30" t="b">
        <v>0</v>
      </c>
    </row>
    <row r="31" spans="1:4" x14ac:dyDescent="0.35">
      <c r="A31" s="2">
        <v>45966</v>
      </c>
      <c r="B31">
        <v>21</v>
      </c>
      <c r="C31">
        <v>0</v>
      </c>
      <c r="D31" t="b">
        <v>0</v>
      </c>
    </row>
    <row r="32" spans="1:4" x14ac:dyDescent="0.35">
      <c r="A32" s="2">
        <v>45966</v>
      </c>
      <c r="B32">
        <v>22</v>
      </c>
      <c r="C32">
        <v>0</v>
      </c>
      <c r="D32" t="b">
        <v>0</v>
      </c>
    </row>
    <row r="33" spans="1:4" x14ac:dyDescent="0.35">
      <c r="A33" s="2">
        <v>45966</v>
      </c>
      <c r="B33">
        <v>23</v>
      </c>
      <c r="C33">
        <v>0</v>
      </c>
      <c r="D33" t="b">
        <v>0</v>
      </c>
    </row>
    <row r="34" spans="1:4" x14ac:dyDescent="0.35">
      <c r="A34" s="2">
        <v>45967</v>
      </c>
      <c r="B34">
        <v>8</v>
      </c>
      <c r="C34">
        <v>506</v>
      </c>
      <c r="D34" t="b">
        <v>1</v>
      </c>
    </row>
    <row r="35" spans="1:4" x14ac:dyDescent="0.35">
      <c r="A35" s="2">
        <v>45967</v>
      </c>
      <c r="B35">
        <v>9</v>
      </c>
      <c r="C35">
        <v>0</v>
      </c>
      <c r="D35" t="b">
        <v>1</v>
      </c>
    </row>
    <row r="36" spans="1:4" x14ac:dyDescent="0.35">
      <c r="A36" s="2">
        <v>45967</v>
      </c>
      <c r="B36">
        <v>10</v>
      </c>
      <c r="C36">
        <v>0</v>
      </c>
      <c r="D36" t="b">
        <v>1</v>
      </c>
    </row>
    <row r="37" spans="1:4" x14ac:dyDescent="0.35">
      <c r="A37" s="2">
        <v>45967</v>
      </c>
      <c r="B37">
        <v>11</v>
      </c>
      <c r="C37">
        <v>0</v>
      </c>
      <c r="D37" t="b">
        <v>1</v>
      </c>
    </row>
    <row r="38" spans="1:4" x14ac:dyDescent="0.35">
      <c r="A38" s="2">
        <v>45967</v>
      </c>
      <c r="B38">
        <v>12</v>
      </c>
      <c r="C38">
        <v>0</v>
      </c>
      <c r="D38" t="b">
        <v>1</v>
      </c>
    </row>
    <row r="39" spans="1:4" x14ac:dyDescent="0.35">
      <c r="A39" s="2">
        <v>45967</v>
      </c>
      <c r="B39">
        <v>13</v>
      </c>
      <c r="C39">
        <v>473</v>
      </c>
      <c r="D39" t="b">
        <v>1</v>
      </c>
    </row>
    <row r="40" spans="1:4" x14ac:dyDescent="0.35">
      <c r="A40" s="2">
        <v>45967</v>
      </c>
      <c r="B40">
        <v>14</v>
      </c>
      <c r="C40">
        <v>0</v>
      </c>
      <c r="D40" t="b">
        <v>1</v>
      </c>
    </row>
    <row r="41" spans="1:4" x14ac:dyDescent="0.35">
      <c r="A41" s="2">
        <v>45967</v>
      </c>
      <c r="B41">
        <v>15</v>
      </c>
      <c r="C41">
        <v>0</v>
      </c>
      <c r="D41" t="b">
        <v>1</v>
      </c>
    </row>
    <row r="42" spans="1:4" x14ac:dyDescent="0.35">
      <c r="A42" s="2">
        <v>45967</v>
      </c>
      <c r="B42">
        <v>16</v>
      </c>
      <c r="C42">
        <v>590</v>
      </c>
      <c r="D42" t="b">
        <v>0</v>
      </c>
    </row>
    <row r="43" spans="1:4" x14ac:dyDescent="0.35">
      <c r="A43" s="2">
        <v>45967</v>
      </c>
      <c r="B43">
        <v>17</v>
      </c>
      <c r="C43">
        <v>478</v>
      </c>
      <c r="D43" t="b">
        <v>0</v>
      </c>
    </row>
    <row r="44" spans="1:4" x14ac:dyDescent="0.35">
      <c r="A44" s="2">
        <v>45967</v>
      </c>
      <c r="B44">
        <v>18</v>
      </c>
      <c r="C44">
        <v>0</v>
      </c>
      <c r="D44" t="b">
        <v>0</v>
      </c>
    </row>
    <row r="45" spans="1:4" x14ac:dyDescent="0.35">
      <c r="A45" s="2">
        <v>45967</v>
      </c>
      <c r="B45">
        <v>19</v>
      </c>
      <c r="C45">
        <v>0</v>
      </c>
      <c r="D45" t="b">
        <v>0</v>
      </c>
    </row>
    <row r="46" spans="1:4" x14ac:dyDescent="0.35">
      <c r="A46" s="2">
        <v>45967</v>
      </c>
      <c r="B46">
        <v>20</v>
      </c>
      <c r="C46">
        <v>0</v>
      </c>
      <c r="D46" t="b">
        <v>0</v>
      </c>
    </row>
    <row r="47" spans="1:4" x14ac:dyDescent="0.35">
      <c r="A47" s="2">
        <v>45967</v>
      </c>
      <c r="B47">
        <v>21</v>
      </c>
      <c r="C47">
        <v>0</v>
      </c>
      <c r="D47" t="b">
        <v>0</v>
      </c>
    </row>
    <row r="48" spans="1:4" x14ac:dyDescent="0.35">
      <c r="A48" s="2">
        <v>45967</v>
      </c>
      <c r="B48">
        <v>22</v>
      </c>
      <c r="C48">
        <v>0</v>
      </c>
      <c r="D48" t="b">
        <v>0</v>
      </c>
    </row>
    <row r="49" spans="1:4" x14ac:dyDescent="0.35">
      <c r="A49" s="2">
        <v>45967</v>
      </c>
      <c r="B49">
        <v>23</v>
      </c>
      <c r="C49">
        <v>0</v>
      </c>
      <c r="D49" t="b">
        <v>0</v>
      </c>
    </row>
    <row r="50" spans="1:4" x14ac:dyDescent="0.35">
      <c r="A50" s="2">
        <v>45968</v>
      </c>
      <c r="B50">
        <v>8</v>
      </c>
      <c r="C50">
        <v>0</v>
      </c>
      <c r="D50" t="b">
        <v>1</v>
      </c>
    </row>
    <row r="51" spans="1:4" x14ac:dyDescent="0.35">
      <c r="A51" s="2">
        <v>45968</v>
      </c>
      <c r="B51">
        <v>9</v>
      </c>
      <c r="C51">
        <v>0</v>
      </c>
      <c r="D51" t="b">
        <v>1</v>
      </c>
    </row>
    <row r="52" spans="1:4" x14ac:dyDescent="0.35">
      <c r="A52" s="2">
        <v>45968</v>
      </c>
      <c r="B52">
        <v>10</v>
      </c>
      <c r="C52">
        <v>0</v>
      </c>
      <c r="D52" t="b">
        <v>1</v>
      </c>
    </row>
    <row r="53" spans="1:4" x14ac:dyDescent="0.35">
      <c r="A53" s="2">
        <v>45968</v>
      </c>
      <c r="B53">
        <v>11</v>
      </c>
      <c r="C53">
        <v>0</v>
      </c>
      <c r="D53" t="b">
        <v>1</v>
      </c>
    </row>
    <row r="54" spans="1:4" x14ac:dyDescent="0.35">
      <c r="A54" s="2">
        <v>45968</v>
      </c>
      <c r="B54">
        <v>12</v>
      </c>
      <c r="C54">
        <v>506</v>
      </c>
      <c r="D54" t="b">
        <v>1</v>
      </c>
    </row>
    <row r="55" spans="1:4" x14ac:dyDescent="0.35">
      <c r="A55" s="2">
        <v>45968</v>
      </c>
      <c r="B55">
        <v>13</v>
      </c>
      <c r="C55">
        <v>473</v>
      </c>
      <c r="D55" t="b">
        <v>1</v>
      </c>
    </row>
    <row r="56" spans="1:4" x14ac:dyDescent="0.35">
      <c r="A56" s="2">
        <v>45968</v>
      </c>
      <c r="B56">
        <v>14</v>
      </c>
      <c r="C56">
        <v>0</v>
      </c>
      <c r="D56" t="b">
        <v>1</v>
      </c>
    </row>
    <row r="57" spans="1:4" x14ac:dyDescent="0.35">
      <c r="A57" s="2">
        <v>45968</v>
      </c>
      <c r="B57">
        <v>15</v>
      </c>
      <c r="C57">
        <v>0</v>
      </c>
      <c r="D57" t="b">
        <v>1</v>
      </c>
    </row>
    <row r="58" spans="1:4" x14ac:dyDescent="0.35">
      <c r="A58" s="2">
        <v>45968</v>
      </c>
      <c r="B58">
        <v>16</v>
      </c>
      <c r="C58">
        <v>768</v>
      </c>
      <c r="D58" t="b">
        <v>0</v>
      </c>
    </row>
    <row r="59" spans="1:4" x14ac:dyDescent="0.35">
      <c r="A59" s="2">
        <v>45968</v>
      </c>
      <c r="B59">
        <v>17</v>
      </c>
      <c r="C59">
        <v>301</v>
      </c>
      <c r="D59" t="b">
        <v>0</v>
      </c>
    </row>
    <row r="60" spans="1:4" x14ac:dyDescent="0.35">
      <c r="A60" s="2">
        <v>45968</v>
      </c>
      <c r="B60">
        <v>18</v>
      </c>
      <c r="C60">
        <v>0</v>
      </c>
      <c r="D60" t="b">
        <v>0</v>
      </c>
    </row>
    <row r="61" spans="1:4" x14ac:dyDescent="0.35">
      <c r="A61" s="2">
        <v>45968</v>
      </c>
      <c r="B61">
        <v>19</v>
      </c>
      <c r="C61">
        <v>0</v>
      </c>
      <c r="D61" t="b">
        <v>0</v>
      </c>
    </row>
    <row r="62" spans="1:4" x14ac:dyDescent="0.35">
      <c r="A62" s="2">
        <v>45968</v>
      </c>
      <c r="B62">
        <v>20</v>
      </c>
      <c r="C62">
        <v>308</v>
      </c>
      <c r="D62" t="b">
        <v>0</v>
      </c>
    </row>
    <row r="63" spans="1:4" x14ac:dyDescent="0.35">
      <c r="A63" s="2">
        <v>45968</v>
      </c>
      <c r="B63">
        <v>21</v>
      </c>
      <c r="C63">
        <v>0</v>
      </c>
      <c r="D63" t="b">
        <v>0</v>
      </c>
    </row>
    <row r="64" spans="1:4" x14ac:dyDescent="0.35">
      <c r="A64" s="2">
        <v>45968</v>
      </c>
      <c r="B64">
        <v>22</v>
      </c>
      <c r="C64">
        <v>0</v>
      </c>
      <c r="D64" t="b">
        <v>0</v>
      </c>
    </row>
    <row r="65" spans="1:4" x14ac:dyDescent="0.35">
      <c r="A65" s="2">
        <v>45968</v>
      </c>
      <c r="B65">
        <v>23</v>
      </c>
      <c r="C65">
        <v>0</v>
      </c>
      <c r="D65" t="b">
        <v>0</v>
      </c>
    </row>
    <row r="66" spans="1:4" x14ac:dyDescent="0.35">
      <c r="A66" s="2">
        <v>45969</v>
      </c>
      <c r="B66">
        <v>8</v>
      </c>
      <c r="C66">
        <v>607</v>
      </c>
      <c r="D66" t="b">
        <v>0</v>
      </c>
    </row>
    <row r="67" spans="1:4" x14ac:dyDescent="0.35">
      <c r="A67" s="2">
        <v>45969</v>
      </c>
      <c r="B67">
        <v>9</v>
      </c>
      <c r="C67">
        <v>0</v>
      </c>
      <c r="D67" t="b">
        <v>0</v>
      </c>
    </row>
    <row r="68" spans="1:4" x14ac:dyDescent="0.35">
      <c r="A68" s="2">
        <v>45969</v>
      </c>
      <c r="B68">
        <v>10</v>
      </c>
      <c r="C68">
        <v>423</v>
      </c>
      <c r="D68" t="b">
        <v>0</v>
      </c>
    </row>
    <row r="69" spans="1:4" x14ac:dyDescent="0.35">
      <c r="A69" s="2">
        <v>45969</v>
      </c>
      <c r="B69">
        <v>11</v>
      </c>
      <c r="C69">
        <v>0</v>
      </c>
      <c r="D69" t="b">
        <v>0</v>
      </c>
    </row>
    <row r="70" spans="1:4" x14ac:dyDescent="0.35">
      <c r="A70" s="2">
        <v>45969</v>
      </c>
      <c r="B70">
        <v>12</v>
      </c>
      <c r="C70">
        <v>0</v>
      </c>
      <c r="D70" t="b">
        <v>0</v>
      </c>
    </row>
    <row r="71" spans="1:4" x14ac:dyDescent="0.35">
      <c r="A71" s="2">
        <v>45969</v>
      </c>
      <c r="B71">
        <v>13</v>
      </c>
      <c r="C71">
        <v>0</v>
      </c>
      <c r="D71" t="b">
        <v>0</v>
      </c>
    </row>
    <row r="72" spans="1:4" x14ac:dyDescent="0.35">
      <c r="A72" s="2">
        <v>45969</v>
      </c>
      <c r="B72">
        <v>14</v>
      </c>
      <c r="C72">
        <v>0</v>
      </c>
      <c r="D72" t="b">
        <v>0</v>
      </c>
    </row>
    <row r="73" spans="1:4" x14ac:dyDescent="0.35">
      <c r="A73" s="2">
        <v>45969</v>
      </c>
      <c r="B73">
        <v>15</v>
      </c>
      <c r="C73">
        <v>261</v>
      </c>
      <c r="D73" t="b">
        <v>0</v>
      </c>
    </row>
    <row r="74" spans="1:4" x14ac:dyDescent="0.35">
      <c r="A74" s="2">
        <v>45969</v>
      </c>
      <c r="B74">
        <v>16</v>
      </c>
      <c r="C74">
        <v>0</v>
      </c>
      <c r="D74" t="b">
        <v>0</v>
      </c>
    </row>
    <row r="75" spans="1:4" x14ac:dyDescent="0.35">
      <c r="A75" s="2">
        <v>45969</v>
      </c>
      <c r="B75">
        <v>17</v>
      </c>
      <c r="C75">
        <v>0</v>
      </c>
      <c r="D75" t="b">
        <v>0</v>
      </c>
    </row>
    <row r="76" spans="1:4" x14ac:dyDescent="0.35">
      <c r="A76" s="2">
        <v>45969</v>
      </c>
      <c r="B76">
        <v>18</v>
      </c>
      <c r="C76">
        <v>0</v>
      </c>
      <c r="D76" t="b">
        <v>0</v>
      </c>
    </row>
    <row r="77" spans="1:4" x14ac:dyDescent="0.35">
      <c r="A77" s="2">
        <v>45969</v>
      </c>
      <c r="B77">
        <v>19</v>
      </c>
      <c r="C77">
        <v>413</v>
      </c>
      <c r="D77" t="b">
        <v>0</v>
      </c>
    </row>
    <row r="78" spans="1:4" x14ac:dyDescent="0.35">
      <c r="A78" s="2">
        <v>45969</v>
      </c>
      <c r="B78">
        <v>20</v>
      </c>
      <c r="C78">
        <v>300</v>
      </c>
      <c r="D78" t="b">
        <v>0</v>
      </c>
    </row>
    <row r="79" spans="1:4" x14ac:dyDescent="0.35">
      <c r="A79" s="2">
        <v>45969</v>
      </c>
      <c r="B79">
        <v>21</v>
      </c>
      <c r="C79">
        <v>0</v>
      </c>
      <c r="D79" t="b">
        <v>0</v>
      </c>
    </row>
    <row r="80" spans="1:4" x14ac:dyDescent="0.35">
      <c r="A80" s="2">
        <v>45969</v>
      </c>
      <c r="B80">
        <v>22</v>
      </c>
      <c r="C80">
        <v>0</v>
      </c>
      <c r="D80" t="b">
        <v>0</v>
      </c>
    </row>
    <row r="81" spans="1:4" x14ac:dyDescent="0.35">
      <c r="A81" s="2">
        <v>45969</v>
      </c>
      <c r="B81">
        <v>23</v>
      </c>
      <c r="C81">
        <v>131</v>
      </c>
      <c r="D81" t="b">
        <v>0</v>
      </c>
    </row>
    <row r="82" spans="1:4" x14ac:dyDescent="0.35">
      <c r="A82" s="2">
        <v>45970</v>
      </c>
      <c r="B82">
        <v>8</v>
      </c>
      <c r="C82">
        <v>0</v>
      </c>
      <c r="D82" t="b">
        <v>0</v>
      </c>
    </row>
    <row r="83" spans="1:4" x14ac:dyDescent="0.35">
      <c r="A83" s="2">
        <v>45970</v>
      </c>
      <c r="B83">
        <v>9</v>
      </c>
      <c r="C83">
        <v>0</v>
      </c>
      <c r="D83" t="b">
        <v>0</v>
      </c>
    </row>
    <row r="84" spans="1:4" x14ac:dyDescent="0.35">
      <c r="A84" s="2">
        <v>45970</v>
      </c>
      <c r="B84">
        <v>10</v>
      </c>
      <c r="C84">
        <v>0</v>
      </c>
      <c r="D84" t="b">
        <v>0</v>
      </c>
    </row>
    <row r="85" spans="1:4" x14ac:dyDescent="0.35">
      <c r="A85" s="2">
        <v>45970</v>
      </c>
      <c r="B85">
        <v>11</v>
      </c>
      <c r="C85">
        <v>0</v>
      </c>
      <c r="D85" t="b">
        <v>0</v>
      </c>
    </row>
    <row r="86" spans="1:4" x14ac:dyDescent="0.35">
      <c r="A86" s="2">
        <v>45970</v>
      </c>
      <c r="B86">
        <v>12</v>
      </c>
      <c r="C86">
        <v>0</v>
      </c>
      <c r="D86" t="b">
        <v>0</v>
      </c>
    </row>
    <row r="87" spans="1:4" x14ac:dyDescent="0.35">
      <c r="A87" s="2">
        <v>45970</v>
      </c>
      <c r="B87">
        <v>13</v>
      </c>
      <c r="C87">
        <v>0</v>
      </c>
      <c r="D87" t="b">
        <v>0</v>
      </c>
    </row>
    <row r="88" spans="1:4" x14ac:dyDescent="0.35">
      <c r="A88" s="2">
        <v>45970</v>
      </c>
      <c r="B88">
        <v>14</v>
      </c>
      <c r="C88">
        <v>378</v>
      </c>
      <c r="D88" t="b">
        <v>0</v>
      </c>
    </row>
    <row r="89" spans="1:4" x14ac:dyDescent="0.35">
      <c r="A89" s="2">
        <v>45970</v>
      </c>
      <c r="B89">
        <v>15</v>
      </c>
      <c r="C89">
        <v>533</v>
      </c>
      <c r="D89" t="b">
        <v>0</v>
      </c>
    </row>
    <row r="90" spans="1:4" x14ac:dyDescent="0.35">
      <c r="A90" s="2">
        <v>45970</v>
      </c>
      <c r="B90">
        <v>16</v>
      </c>
      <c r="C90">
        <v>0</v>
      </c>
      <c r="D90" t="b">
        <v>0</v>
      </c>
    </row>
    <row r="91" spans="1:4" x14ac:dyDescent="0.35">
      <c r="A91" s="2">
        <v>45970</v>
      </c>
      <c r="B91">
        <v>17</v>
      </c>
      <c r="C91">
        <v>0</v>
      </c>
      <c r="D91" t="b">
        <v>0</v>
      </c>
    </row>
    <row r="92" spans="1:4" x14ac:dyDescent="0.35">
      <c r="A92" s="2">
        <v>45970</v>
      </c>
      <c r="B92">
        <v>18</v>
      </c>
      <c r="C92">
        <v>924</v>
      </c>
      <c r="D92" t="b">
        <v>0</v>
      </c>
    </row>
    <row r="93" spans="1:4" x14ac:dyDescent="0.35">
      <c r="A93" s="2">
        <v>45970</v>
      </c>
      <c r="B93">
        <v>19</v>
      </c>
      <c r="C93">
        <v>643</v>
      </c>
      <c r="D93" t="b">
        <v>0</v>
      </c>
    </row>
    <row r="94" spans="1:4" x14ac:dyDescent="0.35">
      <c r="A94" s="2">
        <v>45970</v>
      </c>
      <c r="B94">
        <v>20</v>
      </c>
      <c r="C94">
        <v>0</v>
      </c>
      <c r="D94" t="b">
        <v>0</v>
      </c>
    </row>
    <row r="95" spans="1:4" x14ac:dyDescent="0.35">
      <c r="A95" s="2">
        <v>45970</v>
      </c>
      <c r="B95">
        <v>21</v>
      </c>
      <c r="C95">
        <v>0</v>
      </c>
      <c r="D95" t="b">
        <v>0</v>
      </c>
    </row>
    <row r="96" spans="1:4" x14ac:dyDescent="0.35">
      <c r="A96" s="2">
        <v>45970</v>
      </c>
      <c r="B96">
        <v>22</v>
      </c>
      <c r="C96">
        <v>0</v>
      </c>
      <c r="D96" t="b">
        <v>0</v>
      </c>
    </row>
    <row r="97" spans="1:4" x14ac:dyDescent="0.35">
      <c r="A97" s="2">
        <v>45970</v>
      </c>
      <c r="B97">
        <v>23</v>
      </c>
      <c r="C97">
        <v>0</v>
      </c>
      <c r="D97" t="b">
        <v>0</v>
      </c>
    </row>
    <row r="98" spans="1:4" x14ac:dyDescent="0.35">
      <c r="A98" s="2">
        <v>45971</v>
      </c>
      <c r="B98">
        <v>8</v>
      </c>
      <c r="C98">
        <v>353</v>
      </c>
      <c r="D98" t="b">
        <v>1</v>
      </c>
    </row>
    <row r="99" spans="1:4" x14ac:dyDescent="0.35">
      <c r="A99" s="2">
        <v>45971</v>
      </c>
      <c r="B99">
        <v>9</v>
      </c>
      <c r="C99">
        <v>163</v>
      </c>
      <c r="D99" t="b">
        <v>1</v>
      </c>
    </row>
    <row r="100" spans="1:4" x14ac:dyDescent="0.35">
      <c r="A100" s="2">
        <v>45971</v>
      </c>
      <c r="B100">
        <v>10</v>
      </c>
      <c r="C100">
        <v>340</v>
      </c>
      <c r="D100" t="b">
        <v>1</v>
      </c>
    </row>
    <row r="101" spans="1:4" x14ac:dyDescent="0.35">
      <c r="A101" s="2">
        <v>45971</v>
      </c>
      <c r="B101">
        <v>11</v>
      </c>
      <c r="C101">
        <v>175</v>
      </c>
      <c r="D101" t="b">
        <v>1</v>
      </c>
    </row>
    <row r="102" spans="1:4" x14ac:dyDescent="0.35">
      <c r="A102" s="2">
        <v>45971</v>
      </c>
      <c r="B102">
        <v>12</v>
      </c>
      <c r="C102">
        <v>346</v>
      </c>
      <c r="D102" t="b">
        <v>1</v>
      </c>
    </row>
    <row r="103" spans="1:4" x14ac:dyDescent="0.35">
      <c r="A103" s="2">
        <v>45971</v>
      </c>
      <c r="B103">
        <v>13</v>
      </c>
      <c r="C103">
        <v>465</v>
      </c>
      <c r="D103" t="b">
        <v>1</v>
      </c>
    </row>
    <row r="104" spans="1:4" x14ac:dyDescent="0.35">
      <c r="A104" s="2">
        <v>45971</v>
      </c>
      <c r="B104">
        <v>14</v>
      </c>
      <c r="C104">
        <v>147</v>
      </c>
      <c r="D104" t="b">
        <v>1</v>
      </c>
    </row>
    <row r="105" spans="1:4" x14ac:dyDescent="0.35">
      <c r="A105" s="2">
        <v>45971</v>
      </c>
      <c r="B105">
        <v>15</v>
      </c>
      <c r="C105">
        <v>0</v>
      </c>
      <c r="D105" t="b">
        <v>1</v>
      </c>
    </row>
    <row r="106" spans="1:4" x14ac:dyDescent="0.35">
      <c r="A106" s="2">
        <v>45971</v>
      </c>
      <c r="B106">
        <v>16</v>
      </c>
      <c r="C106">
        <v>0</v>
      </c>
      <c r="D106" t="b">
        <v>0</v>
      </c>
    </row>
    <row r="107" spans="1:4" x14ac:dyDescent="0.35">
      <c r="A107" s="2">
        <v>45971</v>
      </c>
      <c r="B107">
        <v>17</v>
      </c>
      <c r="C107">
        <v>0</v>
      </c>
      <c r="D107" t="b">
        <v>0</v>
      </c>
    </row>
    <row r="108" spans="1:4" x14ac:dyDescent="0.35">
      <c r="A108" s="2">
        <v>45971</v>
      </c>
      <c r="B108">
        <v>18</v>
      </c>
      <c r="C108">
        <v>0</v>
      </c>
      <c r="D108" t="b">
        <v>0</v>
      </c>
    </row>
    <row r="109" spans="1:4" x14ac:dyDescent="0.35">
      <c r="A109" s="2">
        <v>45971</v>
      </c>
      <c r="B109">
        <v>19</v>
      </c>
      <c r="C109">
        <v>0</v>
      </c>
      <c r="D109" t="b">
        <v>0</v>
      </c>
    </row>
    <row r="110" spans="1:4" x14ac:dyDescent="0.35">
      <c r="A110" s="2">
        <v>45971</v>
      </c>
      <c r="B110">
        <v>20</v>
      </c>
      <c r="C110">
        <v>0</v>
      </c>
      <c r="D110" t="b">
        <v>0</v>
      </c>
    </row>
    <row r="111" spans="1:4" x14ac:dyDescent="0.35">
      <c r="A111" s="2">
        <v>45971</v>
      </c>
      <c r="B111">
        <v>21</v>
      </c>
      <c r="C111">
        <v>476</v>
      </c>
      <c r="D111" t="b">
        <v>0</v>
      </c>
    </row>
    <row r="112" spans="1:4" x14ac:dyDescent="0.35">
      <c r="A112" s="2">
        <v>45971</v>
      </c>
      <c r="B112">
        <v>22</v>
      </c>
      <c r="C112">
        <v>0</v>
      </c>
      <c r="D112" t="b">
        <v>0</v>
      </c>
    </row>
    <row r="113" spans="1:4" x14ac:dyDescent="0.35">
      <c r="A113" s="2">
        <v>45971</v>
      </c>
      <c r="B113">
        <v>23</v>
      </c>
      <c r="C113">
        <v>0</v>
      </c>
      <c r="D113" t="b">
        <v>0</v>
      </c>
    </row>
    <row r="114" spans="1:4" x14ac:dyDescent="0.35">
      <c r="A114" s="2">
        <v>45972</v>
      </c>
      <c r="B114">
        <v>8</v>
      </c>
      <c r="C114">
        <v>433</v>
      </c>
      <c r="D114" t="b">
        <v>0</v>
      </c>
    </row>
    <row r="115" spans="1:4" x14ac:dyDescent="0.35">
      <c r="A115" s="2">
        <v>45972</v>
      </c>
      <c r="B115">
        <v>9</v>
      </c>
      <c r="C115">
        <v>0</v>
      </c>
      <c r="D115" t="b">
        <v>0</v>
      </c>
    </row>
    <row r="116" spans="1:4" x14ac:dyDescent="0.35">
      <c r="A116" s="2">
        <v>45972</v>
      </c>
      <c r="B116">
        <v>10</v>
      </c>
      <c r="C116">
        <v>0</v>
      </c>
      <c r="D116" t="b">
        <v>0</v>
      </c>
    </row>
    <row r="117" spans="1:4" x14ac:dyDescent="0.35">
      <c r="A117" s="2">
        <v>45972</v>
      </c>
      <c r="B117">
        <v>11</v>
      </c>
      <c r="C117">
        <v>0</v>
      </c>
      <c r="D117" t="b">
        <v>0</v>
      </c>
    </row>
    <row r="118" spans="1:4" x14ac:dyDescent="0.35">
      <c r="A118" s="2">
        <v>45972</v>
      </c>
      <c r="B118">
        <v>12</v>
      </c>
      <c r="C118">
        <v>0</v>
      </c>
      <c r="D118" t="b">
        <v>0</v>
      </c>
    </row>
    <row r="119" spans="1:4" x14ac:dyDescent="0.35">
      <c r="A119" s="2">
        <v>45972</v>
      </c>
      <c r="B119">
        <v>13</v>
      </c>
      <c r="C119">
        <v>1103</v>
      </c>
      <c r="D119" t="b">
        <v>0</v>
      </c>
    </row>
    <row r="120" spans="1:4" x14ac:dyDescent="0.35">
      <c r="A120" s="2">
        <v>45972</v>
      </c>
      <c r="B120">
        <v>14</v>
      </c>
      <c r="C120">
        <v>304</v>
      </c>
      <c r="D120" t="b">
        <v>0</v>
      </c>
    </row>
    <row r="121" spans="1:4" x14ac:dyDescent="0.35">
      <c r="A121" s="2">
        <v>45972</v>
      </c>
      <c r="B121">
        <v>15</v>
      </c>
      <c r="C121">
        <v>437</v>
      </c>
      <c r="D121" t="b">
        <v>0</v>
      </c>
    </row>
    <row r="122" spans="1:4" x14ac:dyDescent="0.35">
      <c r="A122" s="2">
        <v>45972</v>
      </c>
      <c r="B122">
        <v>16</v>
      </c>
      <c r="C122">
        <v>323</v>
      </c>
      <c r="D122" t="b">
        <v>0</v>
      </c>
    </row>
    <row r="123" spans="1:4" x14ac:dyDescent="0.35">
      <c r="A123" s="2">
        <v>45972</v>
      </c>
      <c r="B123">
        <v>17</v>
      </c>
      <c r="C123">
        <v>0</v>
      </c>
      <c r="D123" t="b">
        <v>0</v>
      </c>
    </row>
    <row r="124" spans="1:4" x14ac:dyDescent="0.35">
      <c r="A124" s="2">
        <v>45972</v>
      </c>
      <c r="B124">
        <v>18</v>
      </c>
      <c r="C124">
        <v>0</v>
      </c>
      <c r="D124" t="b">
        <v>0</v>
      </c>
    </row>
    <row r="125" spans="1:4" x14ac:dyDescent="0.35">
      <c r="A125" s="2">
        <v>45972</v>
      </c>
      <c r="B125">
        <v>19</v>
      </c>
      <c r="C125">
        <v>0</v>
      </c>
      <c r="D125" t="b">
        <v>0</v>
      </c>
    </row>
    <row r="126" spans="1:4" x14ac:dyDescent="0.35">
      <c r="A126" s="2">
        <v>45972</v>
      </c>
      <c r="B126">
        <v>20</v>
      </c>
      <c r="C126">
        <v>0</v>
      </c>
      <c r="D126" t="b">
        <v>0</v>
      </c>
    </row>
    <row r="127" spans="1:4" x14ac:dyDescent="0.35">
      <c r="A127" s="2">
        <v>45972</v>
      </c>
      <c r="B127">
        <v>21</v>
      </c>
      <c r="C127">
        <v>364</v>
      </c>
      <c r="D127" t="b">
        <v>0</v>
      </c>
    </row>
    <row r="128" spans="1:4" x14ac:dyDescent="0.35">
      <c r="A128" s="2">
        <v>45972</v>
      </c>
      <c r="B128">
        <v>22</v>
      </c>
      <c r="C128">
        <v>0</v>
      </c>
      <c r="D128" t="b">
        <v>0</v>
      </c>
    </row>
    <row r="129" spans="1:4" x14ac:dyDescent="0.35">
      <c r="A129" s="2">
        <v>45972</v>
      </c>
      <c r="B129">
        <v>23</v>
      </c>
      <c r="C129">
        <v>0</v>
      </c>
      <c r="D129" t="b">
        <v>0</v>
      </c>
    </row>
    <row r="130" spans="1:4" x14ac:dyDescent="0.35">
      <c r="A130" s="2">
        <v>45973</v>
      </c>
      <c r="B130">
        <v>8</v>
      </c>
      <c r="C130">
        <v>0</v>
      </c>
      <c r="D130" t="b">
        <v>0</v>
      </c>
    </row>
    <row r="131" spans="1:4" x14ac:dyDescent="0.35">
      <c r="A131" s="2">
        <v>45973</v>
      </c>
      <c r="B131">
        <v>9</v>
      </c>
      <c r="C131">
        <v>0</v>
      </c>
      <c r="D131" t="b">
        <v>0</v>
      </c>
    </row>
    <row r="132" spans="1:4" x14ac:dyDescent="0.35">
      <c r="A132" s="2">
        <v>45973</v>
      </c>
      <c r="B132">
        <v>10</v>
      </c>
      <c r="C132">
        <v>0</v>
      </c>
      <c r="D132" t="b">
        <v>0</v>
      </c>
    </row>
    <row r="133" spans="1:4" x14ac:dyDescent="0.35">
      <c r="A133" s="2">
        <v>45973</v>
      </c>
      <c r="B133">
        <v>11</v>
      </c>
      <c r="C133">
        <v>537</v>
      </c>
      <c r="D133" t="b">
        <v>0</v>
      </c>
    </row>
    <row r="134" spans="1:4" x14ac:dyDescent="0.35">
      <c r="A134" s="2">
        <v>45973</v>
      </c>
      <c r="B134">
        <v>12</v>
      </c>
      <c r="C134">
        <v>0</v>
      </c>
      <c r="D134" t="b">
        <v>0</v>
      </c>
    </row>
    <row r="135" spans="1:4" x14ac:dyDescent="0.35">
      <c r="A135" s="2">
        <v>45973</v>
      </c>
      <c r="B135">
        <v>13</v>
      </c>
      <c r="C135">
        <v>399</v>
      </c>
      <c r="D135" t="b">
        <v>0</v>
      </c>
    </row>
    <row r="136" spans="1:4" x14ac:dyDescent="0.35">
      <c r="A136" s="2">
        <v>45973</v>
      </c>
      <c r="B136">
        <v>14</v>
      </c>
      <c r="C136">
        <v>0</v>
      </c>
      <c r="D136" t="b">
        <v>0</v>
      </c>
    </row>
    <row r="137" spans="1:4" x14ac:dyDescent="0.35">
      <c r="A137" s="2">
        <v>45973</v>
      </c>
      <c r="B137">
        <v>15</v>
      </c>
      <c r="C137">
        <v>0</v>
      </c>
      <c r="D137" t="b">
        <v>0</v>
      </c>
    </row>
    <row r="138" spans="1:4" x14ac:dyDescent="0.35">
      <c r="A138" s="2">
        <v>45973</v>
      </c>
      <c r="B138">
        <v>16</v>
      </c>
      <c r="C138">
        <v>0</v>
      </c>
      <c r="D138" t="b">
        <v>0</v>
      </c>
    </row>
    <row r="139" spans="1:4" x14ac:dyDescent="0.35">
      <c r="A139" s="2">
        <v>45973</v>
      </c>
      <c r="B139">
        <v>17</v>
      </c>
      <c r="C139">
        <v>258</v>
      </c>
      <c r="D139" t="b">
        <v>0</v>
      </c>
    </row>
    <row r="140" spans="1:4" x14ac:dyDescent="0.35">
      <c r="A140" s="2">
        <v>45973</v>
      </c>
      <c r="B140">
        <v>18</v>
      </c>
      <c r="C140">
        <v>968</v>
      </c>
      <c r="D140" t="b">
        <v>0</v>
      </c>
    </row>
    <row r="141" spans="1:4" x14ac:dyDescent="0.35">
      <c r="A141" s="2">
        <v>45973</v>
      </c>
      <c r="B141">
        <v>19</v>
      </c>
      <c r="C141">
        <v>0</v>
      </c>
      <c r="D141" t="b">
        <v>0</v>
      </c>
    </row>
    <row r="142" spans="1:4" x14ac:dyDescent="0.35">
      <c r="A142" s="2">
        <v>45973</v>
      </c>
      <c r="B142">
        <v>20</v>
      </c>
      <c r="C142">
        <v>0</v>
      </c>
      <c r="D142" t="b">
        <v>0</v>
      </c>
    </row>
    <row r="143" spans="1:4" x14ac:dyDescent="0.35">
      <c r="A143" s="2">
        <v>45973</v>
      </c>
      <c r="B143">
        <v>21</v>
      </c>
      <c r="C143">
        <v>0</v>
      </c>
      <c r="D143" t="b">
        <v>0</v>
      </c>
    </row>
    <row r="144" spans="1:4" x14ac:dyDescent="0.35">
      <c r="A144" s="2">
        <v>45973</v>
      </c>
      <c r="B144">
        <v>22</v>
      </c>
      <c r="C144">
        <v>0</v>
      </c>
      <c r="D144" t="b">
        <v>0</v>
      </c>
    </row>
    <row r="145" spans="1:4" x14ac:dyDescent="0.35">
      <c r="A145" s="2">
        <v>45973</v>
      </c>
      <c r="B145">
        <v>23</v>
      </c>
      <c r="C145">
        <v>0</v>
      </c>
      <c r="D145" t="b">
        <v>0</v>
      </c>
    </row>
    <row r="146" spans="1:4" x14ac:dyDescent="0.35">
      <c r="A146" s="2">
        <v>45974</v>
      </c>
      <c r="B146">
        <v>8</v>
      </c>
      <c r="C146">
        <v>0</v>
      </c>
      <c r="D146" t="b">
        <v>0</v>
      </c>
    </row>
    <row r="147" spans="1:4" x14ac:dyDescent="0.35">
      <c r="A147" s="2">
        <v>45974</v>
      </c>
      <c r="B147">
        <v>9</v>
      </c>
      <c r="C147">
        <v>0</v>
      </c>
      <c r="D147" t="b">
        <v>0</v>
      </c>
    </row>
    <row r="148" spans="1:4" x14ac:dyDescent="0.35">
      <c r="A148" s="2">
        <v>45974</v>
      </c>
      <c r="B148">
        <v>10</v>
      </c>
      <c r="C148">
        <v>519</v>
      </c>
      <c r="D148" t="b">
        <v>0</v>
      </c>
    </row>
    <row r="149" spans="1:4" x14ac:dyDescent="0.35">
      <c r="A149" s="2">
        <v>45974</v>
      </c>
      <c r="B149">
        <v>11</v>
      </c>
      <c r="C149">
        <v>0</v>
      </c>
      <c r="D149" t="b">
        <v>0</v>
      </c>
    </row>
    <row r="150" spans="1:4" x14ac:dyDescent="0.35">
      <c r="A150" s="2">
        <v>45974</v>
      </c>
      <c r="B150">
        <v>12</v>
      </c>
      <c r="C150">
        <v>378</v>
      </c>
      <c r="D150" t="b">
        <v>0</v>
      </c>
    </row>
    <row r="151" spans="1:4" x14ac:dyDescent="0.35">
      <c r="A151" s="2">
        <v>45974</v>
      </c>
      <c r="B151">
        <v>13</v>
      </c>
      <c r="C151">
        <v>270</v>
      </c>
      <c r="D151" t="b">
        <v>0</v>
      </c>
    </row>
    <row r="152" spans="1:4" x14ac:dyDescent="0.35">
      <c r="A152" s="2">
        <v>45974</v>
      </c>
      <c r="B152">
        <v>14</v>
      </c>
      <c r="C152">
        <v>482</v>
      </c>
      <c r="D152" t="b">
        <v>0</v>
      </c>
    </row>
    <row r="153" spans="1:4" x14ac:dyDescent="0.35">
      <c r="A153" s="2">
        <v>45974</v>
      </c>
      <c r="B153">
        <v>15</v>
      </c>
      <c r="C153">
        <v>0</v>
      </c>
      <c r="D153" t="b">
        <v>0</v>
      </c>
    </row>
    <row r="154" spans="1:4" x14ac:dyDescent="0.35">
      <c r="A154" s="2">
        <v>45974</v>
      </c>
      <c r="B154">
        <v>16</v>
      </c>
      <c r="C154">
        <v>0</v>
      </c>
      <c r="D154" t="b">
        <v>0</v>
      </c>
    </row>
    <row r="155" spans="1:4" x14ac:dyDescent="0.35">
      <c r="A155" s="2">
        <v>45974</v>
      </c>
      <c r="B155">
        <v>17</v>
      </c>
      <c r="C155">
        <v>397</v>
      </c>
      <c r="D155" t="b">
        <v>0</v>
      </c>
    </row>
    <row r="156" spans="1:4" x14ac:dyDescent="0.35">
      <c r="A156" s="2">
        <v>45974</v>
      </c>
      <c r="B156">
        <v>18</v>
      </c>
      <c r="C156">
        <v>0</v>
      </c>
      <c r="D156" t="b">
        <v>0</v>
      </c>
    </row>
    <row r="157" spans="1:4" x14ac:dyDescent="0.35">
      <c r="A157" s="2">
        <v>45974</v>
      </c>
      <c r="B157">
        <v>19</v>
      </c>
      <c r="C157">
        <v>0</v>
      </c>
      <c r="D157" t="b">
        <v>0</v>
      </c>
    </row>
    <row r="158" spans="1:4" x14ac:dyDescent="0.35">
      <c r="A158" s="2">
        <v>45974</v>
      </c>
      <c r="B158">
        <v>20</v>
      </c>
      <c r="C158">
        <v>0</v>
      </c>
      <c r="D158" t="b">
        <v>0</v>
      </c>
    </row>
    <row r="159" spans="1:4" x14ac:dyDescent="0.35">
      <c r="A159" s="2">
        <v>45974</v>
      </c>
      <c r="B159">
        <v>21</v>
      </c>
      <c r="C159">
        <v>318</v>
      </c>
      <c r="D159" t="b">
        <v>0</v>
      </c>
    </row>
    <row r="160" spans="1:4" x14ac:dyDescent="0.35">
      <c r="A160" s="2">
        <v>45974</v>
      </c>
      <c r="B160">
        <v>22</v>
      </c>
      <c r="C160">
        <v>0</v>
      </c>
      <c r="D160" t="b">
        <v>0</v>
      </c>
    </row>
    <row r="161" spans="1:4" x14ac:dyDescent="0.35">
      <c r="A161" s="2">
        <v>45974</v>
      </c>
      <c r="B161">
        <v>23</v>
      </c>
      <c r="C161">
        <v>0</v>
      </c>
      <c r="D161" t="b">
        <v>0</v>
      </c>
    </row>
    <row r="162" spans="1:4" x14ac:dyDescent="0.35">
      <c r="A162" s="2">
        <v>45975</v>
      </c>
      <c r="B162">
        <v>8</v>
      </c>
      <c r="C162">
        <v>0</v>
      </c>
      <c r="D162" t="b">
        <v>0</v>
      </c>
    </row>
    <row r="163" spans="1:4" x14ac:dyDescent="0.35">
      <c r="A163" s="2">
        <v>45975</v>
      </c>
      <c r="B163">
        <v>9</v>
      </c>
      <c r="C163">
        <v>0</v>
      </c>
      <c r="D163" t="b">
        <v>0</v>
      </c>
    </row>
    <row r="164" spans="1:4" x14ac:dyDescent="0.35">
      <c r="A164" s="2">
        <v>45975</v>
      </c>
      <c r="B164">
        <v>10</v>
      </c>
      <c r="C164">
        <v>0</v>
      </c>
      <c r="D164" t="b">
        <v>0</v>
      </c>
    </row>
    <row r="165" spans="1:4" x14ac:dyDescent="0.35">
      <c r="A165" s="2">
        <v>45975</v>
      </c>
      <c r="B165">
        <v>11</v>
      </c>
      <c r="C165">
        <v>559</v>
      </c>
      <c r="D165" t="b">
        <v>0</v>
      </c>
    </row>
    <row r="166" spans="1:4" x14ac:dyDescent="0.35">
      <c r="A166" s="2">
        <v>45975</v>
      </c>
      <c r="B166">
        <v>12</v>
      </c>
      <c r="C166">
        <v>0</v>
      </c>
      <c r="D166" t="b">
        <v>0</v>
      </c>
    </row>
    <row r="167" spans="1:4" x14ac:dyDescent="0.35">
      <c r="A167" s="2">
        <v>45975</v>
      </c>
      <c r="B167">
        <v>13</v>
      </c>
      <c r="C167">
        <v>0</v>
      </c>
      <c r="D167" t="b">
        <v>0</v>
      </c>
    </row>
    <row r="168" spans="1:4" x14ac:dyDescent="0.35">
      <c r="A168" s="2">
        <v>45975</v>
      </c>
      <c r="B168">
        <v>14</v>
      </c>
      <c r="C168">
        <v>0</v>
      </c>
      <c r="D168" t="b">
        <v>0</v>
      </c>
    </row>
    <row r="169" spans="1:4" x14ac:dyDescent="0.35">
      <c r="A169" s="2">
        <v>45975</v>
      </c>
      <c r="B169">
        <v>15</v>
      </c>
      <c r="C169">
        <v>0</v>
      </c>
      <c r="D169" t="b">
        <v>0</v>
      </c>
    </row>
    <row r="170" spans="1:4" x14ac:dyDescent="0.35">
      <c r="A170" s="2">
        <v>45975</v>
      </c>
      <c r="B170">
        <v>16</v>
      </c>
      <c r="C170">
        <v>528</v>
      </c>
      <c r="D170" t="b">
        <v>0</v>
      </c>
    </row>
    <row r="171" spans="1:4" x14ac:dyDescent="0.35">
      <c r="A171" s="2">
        <v>45975</v>
      </c>
      <c r="B171">
        <v>17</v>
      </c>
      <c r="C171">
        <v>0</v>
      </c>
      <c r="D171" t="b">
        <v>0</v>
      </c>
    </row>
    <row r="172" spans="1:4" x14ac:dyDescent="0.35">
      <c r="A172" s="2">
        <v>45975</v>
      </c>
      <c r="B172">
        <v>18</v>
      </c>
      <c r="C172">
        <v>0</v>
      </c>
      <c r="D172" t="b">
        <v>0</v>
      </c>
    </row>
    <row r="173" spans="1:4" x14ac:dyDescent="0.35">
      <c r="A173" s="2">
        <v>45975</v>
      </c>
      <c r="B173">
        <v>19</v>
      </c>
      <c r="C173">
        <v>0</v>
      </c>
      <c r="D173" t="b">
        <v>0</v>
      </c>
    </row>
    <row r="174" spans="1:4" x14ac:dyDescent="0.35">
      <c r="A174" s="2">
        <v>45975</v>
      </c>
      <c r="B174">
        <v>20</v>
      </c>
      <c r="C174">
        <v>0</v>
      </c>
      <c r="D174" t="b">
        <v>0</v>
      </c>
    </row>
    <row r="175" spans="1:4" x14ac:dyDescent="0.35">
      <c r="A175" s="2">
        <v>45975</v>
      </c>
      <c r="B175">
        <v>21</v>
      </c>
      <c r="C175">
        <v>0</v>
      </c>
      <c r="D175" t="b">
        <v>0</v>
      </c>
    </row>
    <row r="176" spans="1:4" x14ac:dyDescent="0.35">
      <c r="A176" s="2">
        <v>45975</v>
      </c>
      <c r="B176">
        <v>22</v>
      </c>
      <c r="C176">
        <v>0</v>
      </c>
      <c r="D176" t="b">
        <v>0</v>
      </c>
    </row>
    <row r="177" spans="1:4" x14ac:dyDescent="0.35">
      <c r="A177" s="2">
        <v>45975</v>
      </c>
      <c r="B177">
        <v>23</v>
      </c>
      <c r="C177">
        <v>0</v>
      </c>
      <c r="D177" t="b">
        <v>0</v>
      </c>
    </row>
    <row r="178" spans="1:4" x14ac:dyDescent="0.35">
      <c r="A178" s="2">
        <v>45976</v>
      </c>
      <c r="B178">
        <v>8</v>
      </c>
      <c r="C178">
        <v>0</v>
      </c>
      <c r="D178" t="b">
        <v>0</v>
      </c>
    </row>
    <row r="179" spans="1:4" x14ac:dyDescent="0.35">
      <c r="A179" s="2">
        <v>45976</v>
      </c>
      <c r="B179">
        <v>9</v>
      </c>
      <c r="C179">
        <v>1136</v>
      </c>
      <c r="D179" t="b">
        <v>0</v>
      </c>
    </row>
    <row r="180" spans="1:4" x14ac:dyDescent="0.35">
      <c r="A180" s="2">
        <v>45976</v>
      </c>
      <c r="B180">
        <v>10</v>
      </c>
      <c r="C180">
        <v>0</v>
      </c>
      <c r="D180" t="b">
        <v>0</v>
      </c>
    </row>
    <row r="181" spans="1:4" x14ac:dyDescent="0.35">
      <c r="A181" s="2">
        <v>45976</v>
      </c>
      <c r="B181">
        <v>11</v>
      </c>
      <c r="C181">
        <v>0</v>
      </c>
      <c r="D181" t="b">
        <v>0</v>
      </c>
    </row>
    <row r="182" spans="1:4" x14ac:dyDescent="0.35">
      <c r="A182" s="2">
        <v>45976</v>
      </c>
      <c r="B182">
        <v>12</v>
      </c>
      <c r="C182">
        <v>0</v>
      </c>
      <c r="D182" t="b">
        <v>0</v>
      </c>
    </row>
    <row r="183" spans="1:4" x14ac:dyDescent="0.35">
      <c r="A183" s="2">
        <v>45976</v>
      </c>
      <c r="B183">
        <v>13</v>
      </c>
      <c r="C183">
        <v>0</v>
      </c>
      <c r="D183" t="b">
        <v>0</v>
      </c>
    </row>
    <row r="184" spans="1:4" x14ac:dyDescent="0.35">
      <c r="A184" s="2">
        <v>45976</v>
      </c>
      <c r="B184">
        <v>14</v>
      </c>
      <c r="C184">
        <v>240</v>
      </c>
      <c r="D184" t="b">
        <v>0</v>
      </c>
    </row>
    <row r="185" spans="1:4" x14ac:dyDescent="0.35">
      <c r="A185" s="2">
        <v>45976</v>
      </c>
      <c r="B185">
        <v>15</v>
      </c>
      <c r="C185">
        <v>630</v>
      </c>
      <c r="D185" t="b">
        <v>0</v>
      </c>
    </row>
    <row r="186" spans="1:4" x14ac:dyDescent="0.35">
      <c r="A186" s="2">
        <v>45976</v>
      </c>
      <c r="B186">
        <v>16</v>
      </c>
      <c r="C186">
        <v>0</v>
      </c>
      <c r="D186" t="b">
        <v>0</v>
      </c>
    </row>
    <row r="187" spans="1:4" x14ac:dyDescent="0.35">
      <c r="A187" s="2">
        <v>45976</v>
      </c>
      <c r="B187">
        <v>17</v>
      </c>
      <c r="C187">
        <v>444</v>
      </c>
      <c r="D187" t="b">
        <v>0</v>
      </c>
    </row>
    <row r="188" spans="1:4" x14ac:dyDescent="0.35">
      <c r="A188" s="2">
        <v>45976</v>
      </c>
      <c r="B188">
        <v>18</v>
      </c>
      <c r="C188">
        <v>0</v>
      </c>
      <c r="D188" t="b">
        <v>0</v>
      </c>
    </row>
    <row r="189" spans="1:4" x14ac:dyDescent="0.35">
      <c r="A189" s="2">
        <v>45976</v>
      </c>
      <c r="B189">
        <v>19</v>
      </c>
      <c r="C189">
        <v>0</v>
      </c>
      <c r="D189" t="b">
        <v>0</v>
      </c>
    </row>
    <row r="190" spans="1:4" x14ac:dyDescent="0.35">
      <c r="A190" s="2">
        <v>45976</v>
      </c>
      <c r="B190">
        <v>20</v>
      </c>
      <c r="C190">
        <v>0</v>
      </c>
      <c r="D190" t="b">
        <v>0</v>
      </c>
    </row>
    <row r="191" spans="1:4" x14ac:dyDescent="0.35">
      <c r="A191" s="2">
        <v>45976</v>
      </c>
      <c r="B191">
        <v>21</v>
      </c>
      <c r="C191">
        <v>0</v>
      </c>
      <c r="D191" t="b">
        <v>0</v>
      </c>
    </row>
    <row r="192" spans="1:4" x14ac:dyDescent="0.35">
      <c r="A192" s="2">
        <v>45976</v>
      </c>
      <c r="B192">
        <v>22</v>
      </c>
      <c r="C192">
        <v>0</v>
      </c>
      <c r="D192" t="b">
        <v>0</v>
      </c>
    </row>
    <row r="193" spans="1:4" x14ac:dyDescent="0.35">
      <c r="A193" s="2">
        <v>45976</v>
      </c>
      <c r="B193">
        <v>23</v>
      </c>
      <c r="C193">
        <v>0</v>
      </c>
      <c r="D193" t="b">
        <v>0</v>
      </c>
    </row>
    <row r="194" spans="1:4" x14ac:dyDescent="0.35">
      <c r="A194" s="2">
        <v>45978</v>
      </c>
      <c r="B194">
        <v>8</v>
      </c>
      <c r="C194">
        <v>510</v>
      </c>
      <c r="D194" t="b">
        <v>1</v>
      </c>
    </row>
    <row r="195" spans="1:4" x14ac:dyDescent="0.35">
      <c r="A195" s="2">
        <v>45978</v>
      </c>
      <c r="B195">
        <v>9</v>
      </c>
      <c r="C195">
        <v>426</v>
      </c>
      <c r="D195" t="b">
        <v>1</v>
      </c>
    </row>
    <row r="196" spans="1:4" x14ac:dyDescent="0.35">
      <c r="A196" s="2">
        <v>45978</v>
      </c>
      <c r="B196">
        <v>10</v>
      </c>
      <c r="C196">
        <v>0</v>
      </c>
      <c r="D196" t="b">
        <v>1</v>
      </c>
    </row>
    <row r="197" spans="1:4" x14ac:dyDescent="0.35">
      <c r="A197" s="2">
        <v>45978</v>
      </c>
      <c r="B197">
        <v>11</v>
      </c>
      <c r="C197">
        <v>122</v>
      </c>
      <c r="D197" t="b">
        <v>1</v>
      </c>
    </row>
    <row r="198" spans="1:4" x14ac:dyDescent="0.35">
      <c r="A198" s="2">
        <v>45978</v>
      </c>
      <c r="B198">
        <v>12</v>
      </c>
      <c r="C198">
        <v>0</v>
      </c>
      <c r="D198" t="b">
        <v>1</v>
      </c>
    </row>
    <row r="199" spans="1:4" x14ac:dyDescent="0.35">
      <c r="A199" s="2">
        <v>45978</v>
      </c>
      <c r="B199">
        <v>13</v>
      </c>
      <c r="C199">
        <v>291</v>
      </c>
      <c r="D199" t="b">
        <v>1</v>
      </c>
    </row>
    <row r="200" spans="1:4" x14ac:dyDescent="0.35">
      <c r="A200" s="2">
        <v>45978</v>
      </c>
      <c r="B200">
        <v>14</v>
      </c>
      <c r="C200">
        <v>0</v>
      </c>
      <c r="D200" t="b">
        <v>1</v>
      </c>
    </row>
    <row r="201" spans="1:4" x14ac:dyDescent="0.35">
      <c r="A201" s="2">
        <v>45978</v>
      </c>
      <c r="B201">
        <v>15</v>
      </c>
      <c r="C201">
        <v>184</v>
      </c>
      <c r="D201" t="b">
        <v>1</v>
      </c>
    </row>
    <row r="202" spans="1:4" x14ac:dyDescent="0.35">
      <c r="A202" s="2">
        <v>45978</v>
      </c>
      <c r="B202">
        <v>16</v>
      </c>
      <c r="C202">
        <v>0</v>
      </c>
      <c r="D202" t="b">
        <v>0</v>
      </c>
    </row>
    <row r="203" spans="1:4" x14ac:dyDescent="0.35">
      <c r="A203" s="2">
        <v>45978</v>
      </c>
      <c r="B203">
        <v>17</v>
      </c>
      <c r="C203">
        <v>0</v>
      </c>
      <c r="D203" t="b">
        <v>0</v>
      </c>
    </row>
    <row r="204" spans="1:4" x14ac:dyDescent="0.35">
      <c r="A204" s="2">
        <v>45978</v>
      </c>
      <c r="B204">
        <v>18</v>
      </c>
      <c r="C204">
        <v>0</v>
      </c>
      <c r="D204" t="b">
        <v>0</v>
      </c>
    </row>
    <row r="205" spans="1:4" x14ac:dyDescent="0.35">
      <c r="A205" s="2">
        <v>45978</v>
      </c>
      <c r="B205">
        <v>19</v>
      </c>
      <c r="C205">
        <v>627</v>
      </c>
      <c r="D205" t="b">
        <v>0</v>
      </c>
    </row>
    <row r="206" spans="1:4" x14ac:dyDescent="0.35">
      <c r="A206" s="2">
        <v>45978</v>
      </c>
      <c r="B206">
        <v>20</v>
      </c>
      <c r="C206">
        <v>0</v>
      </c>
      <c r="D206" t="b">
        <v>0</v>
      </c>
    </row>
    <row r="207" spans="1:4" x14ac:dyDescent="0.35">
      <c r="A207" s="2">
        <v>45978</v>
      </c>
      <c r="B207">
        <v>21</v>
      </c>
      <c r="C207">
        <v>0</v>
      </c>
      <c r="D207" t="b">
        <v>0</v>
      </c>
    </row>
    <row r="208" spans="1:4" x14ac:dyDescent="0.35">
      <c r="A208" s="2">
        <v>45978</v>
      </c>
      <c r="B208">
        <v>22</v>
      </c>
      <c r="C208">
        <v>0</v>
      </c>
      <c r="D208" t="b">
        <v>0</v>
      </c>
    </row>
    <row r="209" spans="1:4" x14ac:dyDescent="0.35">
      <c r="A209" s="2">
        <v>45978</v>
      </c>
      <c r="B209">
        <v>23</v>
      </c>
      <c r="C209">
        <v>0</v>
      </c>
      <c r="D209" t="b">
        <v>0</v>
      </c>
    </row>
    <row r="210" spans="1:4" x14ac:dyDescent="0.35">
      <c r="A210" s="2">
        <v>45979</v>
      </c>
      <c r="B210">
        <v>8</v>
      </c>
      <c r="C210">
        <v>325</v>
      </c>
      <c r="D210" t="b">
        <v>1</v>
      </c>
    </row>
    <row r="211" spans="1:4" x14ac:dyDescent="0.35">
      <c r="A211" s="2">
        <v>45979</v>
      </c>
      <c r="B211">
        <v>9</v>
      </c>
      <c r="C211">
        <v>164</v>
      </c>
      <c r="D211" t="b">
        <v>1</v>
      </c>
    </row>
    <row r="212" spans="1:4" x14ac:dyDescent="0.35">
      <c r="A212" s="2">
        <v>45979</v>
      </c>
      <c r="B212">
        <v>10</v>
      </c>
      <c r="C212">
        <v>0</v>
      </c>
      <c r="D212" t="b">
        <v>1</v>
      </c>
    </row>
    <row r="213" spans="1:4" x14ac:dyDescent="0.35">
      <c r="A213" s="2">
        <v>45979</v>
      </c>
      <c r="B213">
        <v>11</v>
      </c>
      <c r="C213">
        <v>247</v>
      </c>
      <c r="D213" t="b">
        <v>1</v>
      </c>
    </row>
    <row r="214" spans="1:4" x14ac:dyDescent="0.35">
      <c r="A214" s="2">
        <v>45979</v>
      </c>
      <c r="B214">
        <v>12</v>
      </c>
      <c r="C214">
        <v>0</v>
      </c>
      <c r="D214" t="b">
        <v>1</v>
      </c>
    </row>
    <row r="215" spans="1:4" x14ac:dyDescent="0.35">
      <c r="A215" s="2">
        <v>45979</v>
      </c>
      <c r="B215">
        <v>13</v>
      </c>
      <c r="C215">
        <v>0</v>
      </c>
      <c r="D215" t="b">
        <v>1</v>
      </c>
    </row>
    <row r="216" spans="1:4" x14ac:dyDescent="0.35">
      <c r="A216" s="2">
        <v>45979</v>
      </c>
      <c r="B216">
        <v>14</v>
      </c>
      <c r="C216">
        <v>255</v>
      </c>
      <c r="D216" t="b">
        <v>1</v>
      </c>
    </row>
    <row r="217" spans="1:4" x14ac:dyDescent="0.35">
      <c r="A217" s="2">
        <v>45979</v>
      </c>
      <c r="B217">
        <v>15</v>
      </c>
      <c r="C217">
        <v>0</v>
      </c>
      <c r="D217" t="b">
        <v>1</v>
      </c>
    </row>
    <row r="218" spans="1:4" x14ac:dyDescent="0.35">
      <c r="A218" s="2">
        <v>45979</v>
      </c>
      <c r="B218">
        <v>16</v>
      </c>
      <c r="C218">
        <v>0</v>
      </c>
      <c r="D218" t="b">
        <v>0</v>
      </c>
    </row>
    <row r="219" spans="1:4" x14ac:dyDescent="0.35">
      <c r="A219" s="2">
        <v>45979</v>
      </c>
      <c r="B219">
        <v>17</v>
      </c>
      <c r="C219">
        <v>0</v>
      </c>
      <c r="D219" t="b">
        <v>0</v>
      </c>
    </row>
    <row r="220" spans="1:4" x14ac:dyDescent="0.35">
      <c r="A220" s="2">
        <v>45979</v>
      </c>
      <c r="B220">
        <v>18</v>
      </c>
      <c r="C220">
        <v>0</v>
      </c>
      <c r="D220" t="b">
        <v>0</v>
      </c>
    </row>
    <row r="221" spans="1:4" x14ac:dyDescent="0.35">
      <c r="A221" s="2">
        <v>45979</v>
      </c>
      <c r="B221">
        <v>19</v>
      </c>
      <c r="C221">
        <v>0</v>
      </c>
      <c r="D221" t="b">
        <v>0</v>
      </c>
    </row>
    <row r="222" spans="1:4" x14ac:dyDescent="0.35">
      <c r="A222" s="2">
        <v>45979</v>
      </c>
      <c r="B222">
        <v>20</v>
      </c>
      <c r="C222">
        <v>966</v>
      </c>
      <c r="D222" t="b">
        <v>0</v>
      </c>
    </row>
    <row r="223" spans="1:4" x14ac:dyDescent="0.35">
      <c r="A223" s="2">
        <v>45979</v>
      </c>
      <c r="B223">
        <v>21</v>
      </c>
      <c r="C223">
        <v>0</v>
      </c>
      <c r="D223" t="b">
        <v>0</v>
      </c>
    </row>
    <row r="224" spans="1:4" x14ac:dyDescent="0.35">
      <c r="A224" s="2">
        <v>45979</v>
      </c>
      <c r="B224">
        <v>22</v>
      </c>
      <c r="C224">
        <v>0</v>
      </c>
      <c r="D224" t="b">
        <v>0</v>
      </c>
    </row>
    <row r="225" spans="1:4" x14ac:dyDescent="0.35">
      <c r="A225" s="2">
        <v>45979</v>
      </c>
      <c r="B225">
        <v>23</v>
      </c>
      <c r="C225">
        <v>0</v>
      </c>
      <c r="D22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4022-60BD-4C30-8F0A-0A236741ACD0}">
  <dimension ref="A1:C33"/>
  <sheetViews>
    <sheetView tabSelected="1" workbookViewId="0">
      <selection activeCell="R18" sqref="R18"/>
    </sheetView>
  </sheetViews>
  <sheetFormatPr defaultRowHeight="14.5" x14ac:dyDescent="0.35"/>
  <sheetData>
    <row r="1" spans="1:3" x14ac:dyDescent="0.35">
      <c r="A1" t="b">
        <v>1</v>
      </c>
      <c r="B1">
        <v>8</v>
      </c>
      <c r="C1" s="6">
        <f>(Sheet5!C2+Sheet5!C18+Sheet5!C34+Sheet5!C50+Sheet5!C98+Sheet5!C194+Sheet5!C210)/7</f>
        <v>370.71428571428572</v>
      </c>
    </row>
    <row r="2" spans="1:3" x14ac:dyDescent="0.35">
      <c r="A2" t="b">
        <v>1</v>
      </c>
      <c r="B2">
        <v>9</v>
      </c>
      <c r="C2" s="6">
        <f>(Sheet5!C3+Sheet5!C19+Sheet5!C35+Sheet5!C51+Sheet5!C99+Sheet5!C195+Sheet5!C211)/7</f>
        <v>107.57142857142857</v>
      </c>
    </row>
    <row r="3" spans="1:3" x14ac:dyDescent="0.35">
      <c r="A3" t="b">
        <v>1</v>
      </c>
      <c r="B3">
        <v>10</v>
      </c>
      <c r="C3" s="6">
        <f>(Sheet5!C4+Sheet5!C20+Sheet5!C36+Sheet5!C52+Sheet5!C100+Sheet5!C196+Sheet5!C212)/7</f>
        <v>115</v>
      </c>
    </row>
    <row r="4" spans="1:3" x14ac:dyDescent="0.35">
      <c r="A4" t="b">
        <v>1</v>
      </c>
      <c r="B4">
        <v>11</v>
      </c>
      <c r="C4" s="6">
        <f>(Sheet5!C5+Sheet5!C21+Sheet5!C37+Sheet5!C53+Sheet5!C101+Sheet5!C197+Sheet5!C213)/7</f>
        <v>105.71428571428571</v>
      </c>
    </row>
    <row r="5" spans="1:3" x14ac:dyDescent="0.35">
      <c r="A5" t="b">
        <v>1</v>
      </c>
      <c r="B5">
        <v>12</v>
      </c>
      <c r="C5" s="6">
        <f>(Sheet5!C6+Sheet5!C22+Sheet5!C38+Sheet5!C54+Sheet5!C102+Sheet5!C198+Sheet5!C214)/7</f>
        <v>162</v>
      </c>
    </row>
    <row r="6" spans="1:3" x14ac:dyDescent="0.35">
      <c r="A6" t="b">
        <v>1</v>
      </c>
      <c r="B6">
        <v>13</v>
      </c>
      <c r="C6" s="6">
        <f>(Sheet5!C7+Sheet5!C23+Sheet5!C39+Sheet5!C55+Sheet5!C103+Sheet5!C199+Sheet5!C215)/7</f>
        <v>283.14285714285717</v>
      </c>
    </row>
    <row r="7" spans="1:3" x14ac:dyDescent="0.35">
      <c r="A7" t="b">
        <v>1</v>
      </c>
      <c r="B7">
        <v>14</v>
      </c>
      <c r="C7" s="6">
        <f>(Sheet5!C8+Sheet5!C24+Sheet5!C40+Sheet5!C56+Sheet5!C104+Sheet5!C200+Sheet5!C216)/7</f>
        <v>122.71428571428571</v>
      </c>
    </row>
    <row r="8" spans="1:3" x14ac:dyDescent="0.35">
      <c r="A8" t="b">
        <v>1</v>
      </c>
      <c r="B8">
        <v>15</v>
      </c>
      <c r="C8" s="6">
        <f>(Sheet5!C9+Sheet5!C25+Sheet5!C41+Sheet5!C57+Sheet5!C105+Sheet5!C201+Sheet5!C217)/7</f>
        <v>26.285714285714285</v>
      </c>
    </row>
    <row r="9" spans="1:3" x14ac:dyDescent="0.35">
      <c r="A9" t="b">
        <v>1</v>
      </c>
      <c r="B9">
        <v>16</v>
      </c>
      <c r="C9">
        <v>0</v>
      </c>
    </row>
    <row r="10" spans="1:3" x14ac:dyDescent="0.35">
      <c r="A10" t="b">
        <v>1</v>
      </c>
      <c r="B10">
        <v>17</v>
      </c>
      <c r="C10">
        <v>0</v>
      </c>
    </row>
    <row r="11" spans="1:3" x14ac:dyDescent="0.35">
      <c r="A11" t="b">
        <v>1</v>
      </c>
      <c r="B11">
        <v>18</v>
      </c>
      <c r="C11">
        <v>0</v>
      </c>
    </row>
    <row r="12" spans="1:3" x14ac:dyDescent="0.35">
      <c r="A12" t="b">
        <v>1</v>
      </c>
      <c r="B12">
        <v>19</v>
      </c>
      <c r="C12">
        <v>0</v>
      </c>
    </row>
    <row r="13" spans="1:3" x14ac:dyDescent="0.35">
      <c r="A13" t="b">
        <v>1</v>
      </c>
      <c r="B13">
        <v>20</v>
      </c>
      <c r="C13">
        <v>0</v>
      </c>
    </row>
    <row r="14" spans="1:3" x14ac:dyDescent="0.35">
      <c r="A14" t="b">
        <v>1</v>
      </c>
      <c r="B14">
        <v>21</v>
      </c>
      <c r="C14">
        <v>0</v>
      </c>
    </row>
    <row r="15" spans="1:3" x14ac:dyDescent="0.35">
      <c r="A15" t="b">
        <v>1</v>
      </c>
      <c r="B15">
        <v>22</v>
      </c>
      <c r="C15">
        <v>0</v>
      </c>
    </row>
    <row r="16" spans="1:3" x14ac:dyDescent="0.35">
      <c r="A16" t="b">
        <v>1</v>
      </c>
      <c r="B16">
        <v>23</v>
      </c>
      <c r="C16">
        <v>0</v>
      </c>
    </row>
    <row r="18" spans="1:3" x14ac:dyDescent="0.35">
      <c r="A18" t="b">
        <v>0</v>
      </c>
      <c r="B18">
        <v>8</v>
      </c>
      <c r="C18" s="6">
        <f>(Sheet5!C66+Sheet5!C82+Sheet5!C114+Sheet5!C130+Sheet5!C146+Sheet5!C162+Sheet5!C178)/7</f>
        <v>148.57142857142858</v>
      </c>
    </row>
    <row r="19" spans="1:3" x14ac:dyDescent="0.35">
      <c r="A19" t="b">
        <v>0</v>
      </c>
      <c r="B19">
        <v>9</v>
      </c>
      <c r="C19" s="6">
        <f>(Sheet5!C67+Sheet5!C83+Sheet5!C115+Sheet5!C131+Sheet5!C147+Sheet5!C163+Sheet5!C179)/7</f>
        <v>162.28571428571428</v>
      </c>
    </row>
    <row r="20" spans="1:3" x14ac:dyDescent="0.35">
      <c r="A20" t="b">
        <v>0</v>
      </c>
      <c r="B20">
        <v>10</v>
      </c>
      <c r="C20" s="6">
        <f>(Sheet5!C68+Sheet5!C84+Sheet5!C116+Sheet5!C132+Sheet5!C148+Sheet5!C164+Sheet5!C180)/7</f>
        <v>134.57142857142858</v>
      </c>
    </row>
    <row r="21" spans="1:3" x14ac:dyDescent="0.35">
      <c r="A21" t="b">
        <v>0</v>
      </c>
      <c r="B21">
        <v>11</v>
      </c>
      <c r="C21" s="6">
        <f>(Sheet5!C69+Sheet5!C85+Sheet5!C117+Sheet5!C133+Sheet5!C149+Sheet5!C165+Sheet5!C181)/7</f>
        <v>156.57142857142858</v>
      </c>
    </row>
    <row r="22" spans="1:3" x14ac:dyDescent="0.35">
      <c r="A22" t="b">
        <v>0</v>
      </c>
      <c r="B22">
        <v>12</v>
      </c>
      <c r="C22" s="6">
        <f>(Sheet5!C70+Sheet5!C86+Sheet5!C118+Sheet5!C134+Sheet5!C150+Sheet5!C166+Sheet5!C182)/7</f>
        <v>54</v>
      </c>
    </row>
    <row r="23" spans="1:3" x14ac:dyDescent="0.35">
      <c r="A23" t="b">
        <v>0</v>
      </c>
      <c r="B23">
        <v>13</v>
      </c>
      <c r="C23" s="6">
        <f>(Sheet5!C71+Sheet5!C87+Sheet5!C119+Sheet5!C135+Sheet5!C151+Sheet5!C167+Sheet5!C183)/7</f>
        <v>253.14285714285714</v>
      </c>
    </row>
    <row r="24" spans="1:3" x14ac:dyDescent="0.35">
      <c r="A24" t="b">
        <v>0</v>
      </c>
      <c r="B24">
        <v>14</v>
      </c>
      <c r="C24" s="6">
        <f>(Sheet5!C72+Sheet5!C88+Sheet5!C120+Sheet5!C136+Sheet5!C152+Sheet5!C168+Sheet5!C184)/7</f>
        <v>200.57142857142858</v>
      </c>
    </row>
    <row r="25" spans="1:3" x14ac:dyDescent="0.35">
      <c r="A25" t="b">
        <v>0</v>
      </c>
      <c r="B25">
        <v>15</v>
      </c>
      <c r="C25" s="6">
        <f>(Sheet5!C73+Sheet5!C89+Sheet5!C121+Sheet5!C137+Sheet5!C153+Sheet5!C169+Sheet5!C185)/7</f>
        <v>265.85714285714283</v>
      </c>
    </row>
    <row r="26" spans="1:3" x14ac:dyDescent="0.35">
      <c r="A26" t="b">
        <v>0</v>
      </c>
      <c r="B26">
        <v>16</v>
      </c>
      <c r="C26" s="6">
        <f>(Sheet5!C74+Sheet5!C90+Sheet5!C122+Sheet5!C138+Sheet5!C154+Sheet5!C170+Sheet5!C186+Sheet5!C10+Sheet5!C26+Sheet5!C42+Sheet5!C58+Sheet5!C106+Sheet5!C202+Sheet5!C218)/14</f>
        <v>191.07142857142858</v>
      </c>
    </row>
    <row r="27" spans="1:3" x14ac:dyDescent="0.35">
      <c r="A27" t="b">
        <v>0</v>
      </c>
      <c r="B27">
        <v>17</v>
      </c>
      <c r="C27" s="6">
        <f>(Sheet5!C75+Sheet5!C91+Sheet5!C123+Sheet5!C139+Sheet5!C155+Sheet5!C171+Sheet5!C187+Sheet5!C11+Sheet5!C27+Sheet5!C43+Sheet5!C59+Sheet5!C107+Sheet5!C203+Sheet5!C219)/14</f>
        <v>188.64285714285714</v>
      </c>
    </row>
    <row r="28" spans="1:3" x14ac:dyDescent="0.35">
      <c r="A28" t="b">
        <v>0</v>
      </c>
      <c r="B28">
        <v>18</v>
      </c>
      <c r="C28" s="6">
        <f>(Sheet5!C76+Sheet5!C92+Sheet5!C124+Sheet5!C140+Sheet5!C156+Sheet5!C172+Sheet5!C188+Sheet5!C12+Sheet5!C28+Sheet5!C44+Sheet5!C60+Sheet5!C108+Sheet5!C204+Sheet5!C220)/14</f>
        <v>179.64285714285714</v>
      </c>
    </row>
    <row r="29" spans="1:3" x14ac:dyDescent="0.35">
      <c r="A29" t="b">
        <v>0</v>
      </c>
      <c r="B29">
        <v>19</v>
      </c>
      <c r="C29" s="6">
        <f>(Sheet5!C77+Sheet5!C93+Sheet5!C125+Sheet5!C141+Sheet5!C157+Sheet5!C173+Sheet5!C189+Sheet5!C13+Sheet5!C29+Sheet5!C45+Sheet5!C61+Sheet5!C109+Sheet5!C205+Sheet5!C221)/14</f>
        <v>120.21428571428571</v>
      </c>
    </row>
    <row r="30" spans="1:3" x14ac:dyDescent="0.35">
      <c r="A30" t="b">
        <v>0</v>
      </c>
      <c r="B30">
        <v>20</v>
      </c>
      <c r="C30" s="6">
        <f>(Sheet5!C78+Sheet5!C94+Sheet5!C126+Sheet5!C142+Sheet5!C158+Sheet5!C174+Sheet5!C190+Sheet5!C14+Sheet5!C30+Sheet5!C46+Sheet5!C62+Sheet5!C110+Sheet5!C206+Sheet5!C222)/14</f>
        <v>112.42857142857143</v>
      </c>
    </row>
    <row r="31" spans="1:3" x14ac:dyDescent="0.35">
      <c r="A31" t="b">
        <v>0</v>
      </c>
      <c r="B31">
        <v>21</v>
      </c>
      <c r="C31" s="6">
        <f>(Sheet5!C79+Sheet5!C95+Sheet5!C127+Sheet5!C143+Sheet5!C159+Sheet5!C175+Sheet5!C191+Sheet5!C15+Sheet5!C31+Sheet5!C47+Sheet5!C63+Sheet5!C111+Sheet5!C207+Sheet5!C223)/14</f>
        <v>82.714285714285708</v>
      </c>
    </row>
    <row r="32" spans="1:3" x14ac:dyDescent="0.35">
      <c r="A32" t="b">
        <v>0</v>
      </c>
      <c r="B32">
        <v>22</v>
      </c>
      <c r="C32" s="6">
        <f>(Sheet5!C80+Sheet5!C96+Sheet5!C128+Sheet5!C144+Sheet5!C160+Sheet5!C176+Sheet5!C192+Sheet5!C16+Sheet5!C32+Sheet5!C48+Sheet5!C64+Sheet5!C112+Sheet5!C208+Sheet5!C224)/14</f>
        <v>0</v>
      </c>
    </row>
    <row r="33" spans="1:3" x14ac:dyDescent="0.35">
      <c r="A33" t="b">
        <v>0</v>
      </c>
      <c r="B33">
        <v>23</v>
      </c>
      <c r="C33" s="6">
        <f>(Sheet5!C81+Sheet5!C97+Sheet5!C129+Sheet5!C145+Sheet5!C161+Sheet5!C177+Sheet5!C193+Sheet5!C17+Sheet5!C33+Sheet5!C49+Sheet5!C65+Sheet5!C113+Sheet5!C209+Sheet5!C225)/14</f>
        <v>9.3571428571428577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815E-A676-42E1-BFEA-5378E9272624}">
  <dimension ref="A1:H90"/>
  <sheetViews>
    <sheetView workbookViewId="0">
      <selection activeCell="D66" sqref="D66"/>
    </sheetView>
  </sheetViews>
  <sheetFormatPr defaultRowHeight="14.5" x14ac:dyDescent="0.35"/>
  <sheetData>
    <row r="1" spans="1:8" x14ac:dyDescent="0.35">
      <c r="A1" t="s">
        <v>3</v>
      </c>
      <c r="B1" t="s">
        <v>0</v>
      </c>
      <c r="C1" t="s">
        <v>1</v>
      </c>
      <c r="D1" t="s">
        <v>2</v>
      </c>
      <c r="H1" s="2"/>
    </row>
    <row r="2" spans="1:8" x14ac:dyDescent="0.35">
      <c r="A2" s="2">
        <v>45965</v>
      </c>
      <c r="B2" s="1">
        <v>0.33750000000000002</v>
      </c>
      <c r="C2">
        <v>294</v>
      </c>
      <c r="D2" t="b">
        <v>1</v>
      </c>
      <c r="E2" s="2"/>
      <c r="H2" s="2"/>
    </row>
    <row r="3" spans="1:8" x14ac:dyDescent="0.35">
      <c r="A3" s="2">
        <v>45965</v>
      </c>
      <c r="B3" s="1">
        <v>0.35</v>
      </c>
      <c r="C3">
        <v>192</v>
      </c>
      <c r="D3" t="b">
        <v>1</v>
      </c>
      <c r="E3" s="2"/>
      <c r="H3" s="2"/>
    </row>
    <row r="4" spans="1:8" x14ac:dyDescent="0.35">
      <c r="A4" s="2">
        <v>45965</v>
      </c>
      <c r="B4" s="1">
        <v>0.42986111111111114</v>
      </c>
      <c r="C4">
        <v>351</v>
      </c>
      <c r="D4" t="b">
        <v>1</v>
      </c>
      <c r="H4" s="2"/>
    </row>
    <row r="5" spans="1:8" x14ac:dyDescent="0.35">
      <c r="A5" s="2">
        <v>45965</v>
      </c>
      <c r="B5" s="1">
        <v>0.49513888888888891</v>
      </c>
      <c r="C5">
        <v>196</v>
      </c>
      <c r="D5" t="b">
        <v>1</v>
      </c>
      <c r="H5" s="2"/>
    </row>
    <row r="6" spans="1:8" x14ac:dyDescent="0.35">
      <c r="A6" s="2">
        <v>45965</v>
      </c>
      <c r="B6" s="1">
        <v>0.55902777777777779</v>
      </c>
      <c r="C6">
        <v>280</v>
      </c>
      <c r="D6" t="b">
        <v>1</v>
      </c>
      <c r="H6" s="2"/>
    </row>
    <row r="7" spans="1:8" x14ac:dyDescent="0.35">
      <c r="A7" s="2">
        <v>45965</v>
      </c>
      <c r="B7" s="1">
        <v>0.61319444444444449</v>
      </c>
      <c r="C7">
        <v>223</v>
      </c>
      <c r="D7" t="b">
        <v>1</v>
      </c>
      <c r="H7" s="2"/>
    </row>
    <row r="8" spans="1:8" x14ac:dyDescent="0.35">
      <c r="A8" s="2">
        <v>45965</v>
      </c>
      <c r="B8" s="1">
        <v>0.68402777777777779</v>
      </c>
      <c r="C8">
        <v>239</v>
      </c>
      <c r="D8" t="b">
        <v>0</v>
      </c>
      <c r="H8" s="2"/>
    </row>
    <row r="9" spans="1:8" x14ac:dyDescent="0.35">
      <c r="A9" s="2">
        <v>45965</v>
      </c>
      <c r="B9" s="1">
        <v>0.7</v>
      </c>
      <c r="C9">
        <v>227</v>
      </c>
      <c r="D9" t="b">
        <v>0</v>
      </c>
      <c r="H9" s="2"/>
    </row>
    <row r="10" spans="1:8" x14ac:dyDescent="0.35">
      <c r="A10" s="2">
        <v>45965</v>
      </c>
      <c r="B10" s="1">
        <v>0.71458333333333335</v>
      </c>
      <c r="C10">
        <v>411</v>
      </c>
      <c r="D10" t="b">
        <v>0</v>
      </c>
      <c r="H10" s="2"/>
    </row>
    <row r="11" spans="1:8" x14ac:dyDescent="0.35">
      <c r="A11" s="2">
        <v>45965</v>
      </c>
      <c r="B11" s="1">
        <v>0.7729166666666667</v>
      </c>
      <c r="C11">
        <v>184</v>
      </c>
      <c r="D11" t="b">
        <v>0</v>
      </c>
      <c r="H11" s="2"/>
    </row>
    <row r="12" spans="1:8" x14ac:dyDescent="0.35">
      <c r="A12" s="2">
        <v>45965</v>
      </c>
      <c r="B12" s="1">
        <v>0.77847222222222223</v>
      </c>
      <c r="C12">
        <v>439</v>
      </c>
      <c r="D12" t="b">
        <v>0</v>
      </c>
    </row>
    <row r="13" spans="1:8" x14ac:dyDescent="0.35">
      <c r="A13" s="2">
        <v>45966</v>
      </c>
      <c r="B13" s="1">
        <v>0.31111111111111112</v>
      </c>
      <c r="C13">
        <v>415</v>
      </c>
      <c r="D13" t="b">
        <v>1</v>
      </c>
    </row>
    <row r="14" spans="1:8" x14ac:dyDescent="0.35">
      <c r="A14" s="2">
        <v>45966</v>
      </c>
      <c r="B14" s="1">
        <v>0.45277777777777778</v>
      </c>
      <c r="C14">
        <v>114</v>
      </c>
      <c r="D14" t="b">
        <v>1</v>
      </c>
    </row>
    <row r="15" spans="1:8" x14ac:dyDescent="0.35">
      <c r="A15" s="2">
        <v>45966</v>
      </c>
      <c r="B15" s="1">
        <v>0.52361111111111114</v>
      </c>
      <c r="C15">
        <v>282</v>
      </c>
      <c r="D15" t="b">
        <v>1</v>
      </c>
    </row>
    <row r="16" spans="1:8" x14ac:dyDescent="0.35">
      <c r="A16" s="2">
        <v>45966</v>
      </c>
      <c r="B16" s="1">
        <v>0.59652777777777777</v>
      </c>
      <c r="C16">
        <v>234</v>
      </c>
      <c r="D16" t="b">
        <v>1</v>
      </c>
    </row>
    <row r="17" spans="1:4" x14ac:dyDescent="0.35">
      <c r="A17" s="2">
        <v>45966</v>
      </c>
      <c r="B17" s="1">
        <v>0.74236111111111114</v>
      </c>
      <c r="C17">
        <v>352</v>
      </c>
      <c r="D17" t="b">
        <v>0</v>
      </c>
    </row>
    <row r="18" spans="1:4" x14ac:dyDescent="0.35">
      <c r="A18" s="2">
        <v>45967</v>
      </c>
      <c r="B18" s="1">
        <v>0.36944444444444446</v>
      </c>
      <c r="C18">
        <v>506</v>
      </c>
      <c r="D18" t="b">
        <v>1</v>
      </c>
    </row>
    <row r="19" spans="1:4" x14ac:dyDescent="0.35">
      <c r="A19" s="2">
        <v>45967</v>
      </c>
      <c r="B19" s="1">
        <v>0.5493055555555556</v>
      </c>
      <c r="C19">
        <v>473</v>
      </c>
      <c r="D19" t="b">
        <v>1</v>
      </c>
    </row>
    <row r="20" spans="1:4" x14ac:dyDescent="0.35">
      <c r="A20" s="2">
        <v>45967</v>
      </c>
      <c r="B20" s="1">
        <v>0.70347222222222228</v>
      </c>
      <c r="C20">
        <v>590</v>
      </c>
      <c r="D20" t="b">
        <v>0</v>
      </c>
    </row>
    <row r="21" spans="1:4" x14ac:dyDescent="0.35">
      <c r="A21" s="2">
        <v>45967</v>
      </c>
      <c r="B21" s="1">
        <v>0.71805555555555556</v>
      </c>
      <c r="C21">
        <v>478</v>
      </c>
      <c r="D21" t="b">
        <v>0</v>
      </c>
    </row>
    <row r="22" spans="1:4" x14ac:dyDescent="0.35">
      <c r="A22" s="2">
        <v>45968</v>
      </c>
      <c r="B22" s="1">
        <v>0.52083333333333337</v>
      </c>
      <c r="C22">
        <v>506</v>
      </c>
      <c r="D22" t="b">
        <v>1</v>
      </c>
    </row>
    <row r="23" spans="1:4" x14ac:dyDescent="0.35">
      <c r="A23" s="2">
        <v>45968</v>
      </c>
      <c r="B23" s="1">
        <v>0.57152777777777775</v>
      </c>
      <c r="C23">
        <v>473</v>
      </c>
      <c r="D23" t="b">
        <v>1</v>
      </c>
    </row>
    <row r="24" spans="1:4" x14ac:dyDescent="0.35">
      <c r="A24" s="2">
        <v>45968</v>
      </c>
      <c r="B24" s="1">
        <v>0.64236111111111116</v>
      </c>
      <c r="C24">
        <v>81</v>
      </c>
      <c r="D24" t="b">
        <v>0</v>
      </c>
    </row>
    <row r="25" spans="1:4" x14ac:dyDescent="0.35">
      <c r="A25" s="2">
        <v>45968</v>
      </c>
      <c r="B25" s="1">
        <v>0.65277777777777779</v>
      </c>
      <c r="C25">
        <v>208</v>
      </c>
      <c r="D25" t="b">
        <v>0</v>
      </c>
    </row>
    <row r="26" spans="1:4" x14ac:dyDescent="0.35">
      <c r="A26" s="2">
        <v>45968</v>
      </c>
      <c r="B26" s="1">
        <v>0.66111111111111109</v>
      </c>
      <c r="C26">
        <v>221</v>
      </c>
      <c r="D26" t="b">
        <v>0</v>
      </c>
    </row>
    <row r="27" spans="1:4" x14ac:dyDescent="0.35">
      <c r="A27" s="2">
        <v>45968</v>
      </c>
      <c r="B27" s="1">
        <v>0.67013888888888884</v>
      </c>
      <c r="C27">
        <v>258</v>
      </c>
      <c r="D27" t="b">
        <v>0</v>
      </c>
    </row>
    <row r="28" spans="1:4" x14ac:dyDescent="0.35">
      <c r="A28" s="2">
        <v>45968</v>
      </c>
      <c r="B28" s="1">
        <v>0.70902777777777781</v>
      </c>
      <c r="C28">
        <v>301</v>
      </c>
      <c r="D28" t="b">
        <v>0</v>
      </c>
    </row>
    <row r="29" spans="1:4" x14ac:dyDescent="0.35">
      <c r="A29" s="2">
        <v>45968</v>
      </c>
      <c r="B29" s="1">
        <v>0.83958333333333335</v>
      </c>
      <c r="C29">
        <v>308</v>
      </c>
      <c r="D29" t="b">
        <v>0</v>
      </c>
    </row>
    <row r="30" spans="1:4" x14ac:dyDescent="0.35">
      <c r="A30" s="2">
        <v>45969</v>
      </c>
      <c r="B30" s="1">
        <v>0.37361111111111112</v>
      </c>
      <c r="C30">
        <v>607</v>
      </c>
      <c r="D30" t="b">
        <v>0</v>
      </c>
    </row>
    <row r="31" spans="1:4" x14ac:dyDescent="0.35">
      <c r="A31" s="2">
        <v>45969</v>
      </c>
      <c r="B31" s="1">
        <v>0.45069444444444445</v>
      </c>
      <c r="C31">
        <v>423</v>
      </c>
      <c r="D31" t="b">
        <v>0</v>
      </c>
    </row>
    <row r="32" spans="1:4" x14ac:dyDescent="0.35">
      <c r="A32" s="2">
        <v>45969</v>
      </c>
      <c r="B32" s="1">
        <v>0.66527777777777775</v>
      </c>
      <c r="C32">
        <v>261</v>
      </c>
      <c r="D32" t="b">
        <v>0</v>
      </c>
    </row>
    <row r="33" spans="1:4" x14ac:dyDescent="0.35">
      <c r="A33" s="2">
        <v>45969</v>
      </c>
      <c r="B33" s="1">
        <v>0.8041666666666667</v>
      </c>
      <c r="C33">
        <v>413</v>
      </c>
      <c r="D33" t="b">
        <v>0</v>
      </c>
    </row>
    <row r="34" spans="1:4" x14ac:dyDescent="0.35">
      <c r="A34" s="2">
        <v>45969</v>
      </c>
      <c r="B34" s="1">
        <v>0.85486111111111107</v>
      </c>
      <c r="C34">
        <v>300</v>
      </c>
      <c r="D34" t="b">
        <v>0</v>
      </c>
    </row>
    <row r="35" spans="1:4" x14ac:dyDescent="0.35">
      <c r="A35" s="2">
        <v>45970</v>
      </c>
      <c r="B35" s="1">
        <v>8.3333333333333332E-3</v>
      </c>
      <c r="C35">
        <v>131</v>
      </c>
      <c r="D35" t="b">
        <v>0</v>
      </c>
    </row>
    <row r="36" spans="1:4" x14ac:dyDescent="0.35">
      <c r="A36" s="2">
        <v>45970</v>
      </c>
      <c r="B36" s="1">
        <v>0.60763888888888884</v>
      </c>
      <c r="C36">
        <v>378</v>
      </c>
      <c r="D36" t="b">
        <v>0</v>
      </c>
    </row>
    <row r="37" spans="1:4" x14ac:dyDescent="0.35">
      <c r="A37" s="2">
        <v>45970</v>
      </c>
      <c r="B37" s="1">
        <v>0.66527777777777775</v>
      </c>
      <c r="C37">
        <v>533</v>
      </c>
      <c r="D37" t="b">
        <v>0</v>
      </c>
    </row>
    <row r="38" spans="1:4" x14ac:dyDescent="0.35">
      <c r="A38" s="2">
        <v>45970</v>
      </c>
      <c r="B38" s="1">
        <v>0.76388888888888884</v>
      </c>
      <c r="C38">
        <v>431</v>
      </c>
      <c r="D38" t="b">
        <v>0</v>
      </c>
    </row>
    <row r="39" spans="1:4" x14ac:dyDescent="0.35">
      <c r="A39" s="2">
        <v>45970</v>
      </c>
      <c r="B39" s="1">
        <v>0.78125</v>
      </c>
      <c r="C39">
        <v>493</v>
      </c>
      <c r="D39" t="b">
        <v>0</v>
      </c>
    </row>
    <row r="40" spans="1:4" x14ac:dyDescent="0.35">
      <c r="A40" s="2">
        <v>45970</v>
      </c>
      <c r="B40" s="1">
        <v>0.79652777777777772</v>
      </c>
      <c r="C40">
        <v>409</v>
      </c>
      <c r="D40" t="b">
        <v>0</v>
      </c>
    </row>
    <row r="41" spans="1:4" x14ac:dyDescent="0.35">
      <c r="A41" s="2">
        <v>45970</v>
      </c>
      <c r="B41" s="1">
        <v>0.82430555555555551</v>
      </c>
      <c r="C41">
        <v>234</v>
      </c>
      <c r="D41" t="b">
        <v>0</v>
      </c>
    </row>
    <row r="42" spans="1:4" x14ac:dyDescent="0.35">
      <c r="A42" s="2">
        <v>45971</v>
      </c>
      <c r="B42" s="1">
        <v>0.36249999999999999</v>
      </c>
      <c r="C42">
        <v>353</v>
      </c>
      <c r="D42" t="b">
        <v>1</v>
      </c>
    </row>
    <row r="43" spans="1:4" x14ac:dyDescent="0.35">
      <c r="A43" s="2">
        <v>45971</v>
      </c>
      <c r="B43" s="1">
        <v>0.40833333333333333</v>
      </c>
      <c r="C43">
        <v>163</v>
      </c>
      <c r="D43" t="b">
        <v>1</v>
      </c>
    </row>
    <row r="44" spans="1:4" x14ac:dyDescent="0.35">
      <c r="A44" s="2">
        <v>45971</v>
      </c>
      <c r="B44" s="1">
        <v>0.42152777777777778</v>
      </c>
      <c r="C44">
        <v>340</v>
      </c>
      <c r="D44" t="b">
        <v>1</v>
      </c>
    </row>
    <row r="45" spans="1:4" x14ac:dyDescent="0.35">
      <c r="A45" s="2">
        <v>45971</v>
      </c>
      <c r="B45" s="1">
        <v>0.47499999999999998</v>
      </c>
      <c r="C45">
        <v>175</v>
      </c>
      <c r="D45" t="b">
        <v>1</v>
      </c>
    </row>
    <row r="46" spans="1:4" x14ac:dyDescent="0.35">
      <c r="A46" s="2">
        <v>45971</v>
      </c>
      <c r="B46" s="1">
        <v>0.53263888888888888</v>
      </c>
      <c r="C46">
        <v>346</v>
      </c>
      <c r="D46" t="b">
        <v>1</v>
      </c>
    </row>
    <row r="47" spans="1:4" x14ac:dyDescent="0.35">
      <c r="A47" s="2">
        <v>45971</v>
      </c>
      <c r="B47" s="1">
        <v>0.54166666666666663</v>
      </c>
      <c r="C47">
        <v>112</v>
      </c>
      <c r="D47" t="b">
        <v>1</v>
      </c>
    </row>
    <row r="48" spans="1:4" x14ac:dyDescent="0.35">
      <c r="A48" s="2">
        <v>45971</v>
      </c>
      <c r="B48" s="1">
        <v>0.55972222222222223</v>
      </c>
      <c r="C48">
        <v>353</v>
      </c>
      <c r="D48" t="b">
        <v>1</v>
      </c>
    </row>
    <row r="49" spans="1:4" x14ac:dyDescent="0.35">
      <c r="A49" s="2">
        <v>45971</v>
      </c>
      <c r="B49" s="1">
        <v>0.61041666666666672</v>
      </c>
      <c r="C49">
        <v>147</v>
      </c>
      <c r="D49" t="b">
        <v>1</v>
      </c>
    </row>
    <row r="50" spans="1:4" x14ac:dyDescent="0.35">
      <c r="A50" s="2">
        <v>45971</v>
      </c>
      <c r="B50" s="1">
        <v>0.88402777777777775</v>
      </c>
      <c r="C50">
        <v>476</v>
      </c>
      <c r="D50" t="b">
        <v>0</v>
      </c>
    </row>
    <row r="51" spans="1:4" x14ac:dyDescent="0.35">
      <c r="A51" s="2">
        <v>45972</v>
      </c>
      <c r="B51" s="1">
        <v>0.34444444444444444</v>
      </c>
      <c r="C51">
        <v>433</v>
      </c>
      <c r="D51" t="b">
        <v>0</v>
      </c>
    </row>
    <row r="52" spans="1:4" x14ac:dyDescent="0.35">
      <c r="A52" s="2">
        <v>45972</v>
      </c>
      <c r="B52" s="1">
        <v>0.55972222222222223</v>
      </c>
      <c r="C52">
        <v>257</v>
      </c>
      <c r="D52" t="b">
        <v>0</v>
      </c>
    </row>
    <row r="53" spans="1:4" x14ac:dyDescent="0.35">
      <c r="A53" s="2">
        <v>45972</v>
      </c>
      <c r="B53" s="1">
        <v>0.57430555555555551</v>
      </c>
      <c r="C53">
        <v>404</v>
      </c>
      <c r="D53" t="b">
        <v>0</v>
      </c>
    </row>
    <row r="54" spans="1:4" x14ac:dyDescent="0.35">
      <c r="A54" s="2">
        <v>45972</v>
      </c>
      <c r="B54" s="1">
        <v>0.57986111111111116</v>
      </c>
      <c r="C54">
        <v>442</v>
      </c>
      <c r="D54" t="b">
        <v>0</v>
      </c>
    </row>
    <row r="55" spans="1:4" ht="15" customHeight="1" x14ac:dyDescent="0.35">
      <c r="A55" s="2">
        <v>45972</v>
      </c>
      <c r="B55" s="1">
        <v>0.60833333333333328</v>
      </c>
      <c r="C55">
        <v>304</v>
      </c>
      <c r="D55" t="b">
        <v>0</v>
      </c>
    </row>
    <row r="56" spans="1:4" x14ac:dyDescent="0.35">
      <c r="A56" s="2">
        <v>45972</v>
      </c>
      <c r="B56" s="1">
        <v>0.63749999999999996</v>
      </c>
      <c r="C56">
        <v>437</v>
      </c>
      <c r="D56" t="b">
        <v>0</v>
      </c>
    </row>
    <row r="57" spans="1:4" x14ac:dyDescent="0.35">
      <c r="A57" s="2">
        <v>45972</v>
      </c>
      <c r="B57" s="1">
        <v>0.70138888888888884</v>
      </c>
      <c r="C57">
        <v>323</v>
      </c>
      <c r="D57" t="b">
        <v>0</v>
      </c>
    </row>
    <row r="58" spans="1:4" x14ac:dyDescent="0.35">
      <c r="A58" s="2">
        <v>45972</v>
      </c>
      <c r="B58" s="1">
        <v>0.89583333333333337</v>
      </c>
      <c r="C58">
        <v>364</v>
      </c>
      <c r="D58" t="b">
        <v>0</v>
      </c>
    </row>
    <row r="59" spans="1:4" x14ac:dyDescent="0.35">
      <c r="A59" s="2">
        <v>45973</v>
      </c>
      <c r="B59" s="1">
        <v>0.49930555555555556</v>
      </c>
      <c r="C59">
        <v>537</v>
      </c>
      <c r="D59" t="b">
        <v>0</v>
      </c>
    </row>
    <row r="60" spans="1:4" x14ac:dyDescent="0.35">
      <c r="A60" s="2">
        <v>45973</v>
      </c>
      <c r="B60" s="1">
        <v>0.56319444444444444</v>
      </c>
      <c r="C60">
        <v>399</v>
      </c>
      <c r="D60" t="b">
        <v>0</v>
      </c>
    </row>
    <row r="61" spans="1:4" x14ac:dyDescent="0.35">
      <c r="A61" s="2">
        <v>45973</v>
      </c>
      <c r="B61" s="1">
        <v>0.74930555555555556</v>
      </c>
      <c r="C61">
        <v>258</v>
      </c>
      <c r="D61" t="b">
        <v>0</v>
      </c>
    </row>
    <row r="62" spans="1:4" x14ac:dyDescent="0.35">
      <c r="A62" s="2">
        <v>45973</v>
      </c>
      <c r="B62" s="1">
        <v>0.76597222222222228</v>
      </c>
      <c r="C62">
        <v>539</v>
      </c>
      <c r="D62" t="b">
        <v>0</v>
      </c>
    </row>
    <row r="63" spans="1:4" x14ac:dyDescent="0.35">
      <c r="A63" s="2">
        <v>45973</v>
      </c>
      <c r="B63" s="1">
        <v>0.77500000000000002</v>
      </c>
      <c r="C63">
        <v>429</v>
      </c>
      <c r="D63" t="b">
        <v>0</v>
      </c>
    </row>
    <row r="64" spans="1:4" x14ac:dyDescent="0.35">
      <c r="A64" s="2">
        <v>45974</v>
      </c>
      <c r="B64" s="1">
        <v>0.42569444444444443</v>
      </c>
      <c r="C64">
        <v>519</v>
      </c>
      <c r="D64" t="b">
        <v>0</v>
      </c>
    </row>
    <row r="65" spans="1:4" x14ac:dyDescent="0.35">
      <c r="A65" s="2">
        <v>45974</v>
      </c>
      <c r="B65" s="1">
        <v>0.50555555555555554</v>
      </c>
      <c r="C65">
        <v>378</v>
      </c>
      <c r="D65" t="b">
        <v>0</v>
      </c>
    </row>
    <row r="66" spans="1:4" x14ac:dyDescent="0.35">
      <c r="A66" s="2">
        <v>45974</v>
      </c>
      <c r="B66" s="1">
        <v>0.54166666666666663</v>
      </c>
      <c r="C66">
        <v>270</v>
      </c>
      <c r="D66" t="b">
        <v>0</v>
      </c>
    </row>
    <row r="67" spans="1:4" x14ac:dyDescent="0.35">
      <c r="A67" s="2">
        <v>45974</v>
      </c>
      <c r="B67" s="1">
        <v>0.61527777777777781</v>
      </c>
      <c r="C67">
        <v>482</v>
      </c>
      <c r="D67" t="b">
        <v>0</v>
      </c>
    </row>
    <row r="68" spans="1:4" x14ac:dyDescent="0.35">
      <c r="A68" s="2">
        <v>45974</v>
      </c>
      <c r="B68" s="1">
        <v>0.71111111111111114</v>
      </c>
      <c r="C68">
        <v>397</v>
      </c>
      <c r="D68" t="b">
        <v>0</v>
      </c>
    </row>
    <row r="69" spans="1:4" x14ac:dyDescent="0.35">
      <c r="A69" s="2">
        <v>45974</v>
      </c>
      <c r="B69" s="1">
        <v>0.89097222222222228</v>
      </c>
      <c r="C69">
        <v>318</v>
      </c>
      <c r="D69" t="b">
        <v>0</v>
      </c>
    </row>
    <row r="70" spans="1:4" x14ac:dyDescent="0.35">
      <c r="A70" s="2">
        <v>45975</v>
      </c>
      <c r="B70" s="1">
        <v>0.47361111111111109</v>
      </c>
      <c r="C70">
        <v>559</v>
      </c>
      <c r="D70" t="b">
        <v>0</v>
      </c>
    </row>
    <row r="71" spans="1:4" x14ac:dyDescent="0.35">
      <c r="A71" s="2">
        <v>45975</v>
      </c>
      <c r="B71" s="1">
        <v>0.68888888888888888</v>
      </c>
      <c r="C71">
        <v>528</v>
      </c>
      <c r="D71" t="b">
        <v>0</v>
      </c>
    </row>
    <row r="72" spans="1:4" x14ac:dyDescent="0.35">
      <c r="A72" s="2">
        <v>45976</v>
      </c>
      <c r="B72" s="1">
        <v>0.38958333333333334</v>
      </c>
      <c r="C72">
        <v>725</v>
      </c>
      <c r="D72" t="b">
        <v>0</v>
      </c>
    </row>
    <row r="73" spans="1:4" x14ac:dyDescent="0.35">
      <c r="A73" s="2">
        <v>45976</v>
      </c>
      <c r="B73" s="1">
        <v>0.40486111111111112</v>
      </c>
      <c r="C73">
        <v>411</v>
      </c>
      <c r="D73" t="b">
        <v>0</v>
      </c>
    </row>
    <row r="74" spans="1:4" x14ac:dyDescent="0.35">
      <c r="A74" s="2">
        <v>45976</v>
      </c>
      <c r="B74" s="1">
        <v>0.59513888888888888</v>
      </c>
      <c r="C74">
        <v>240</v>
      </c>
      <c r="D74" t="b">
        <v>0</v>
      </c>
    </row>
    <row r="75" spans="1:4" x14ac:dyDescent="0.35">
      <c r="A75" s="2">
        <v>45976</v>
      </c>
      <c r="B75" s="1">
        <v>0.62986111111111109</v>
      </c>
      <c r="C75">
        <v>630</v>
      </c>
      <c r="D75" t="b">
        <v>0</v>
      </c>
    </row>
    <row r="76" spans="1:4" x14ac:dyDescent="0.35">
      <c r="A76" s="2">
        <v>45976</v>
      </c>
      <c r="B76" s="1">
        <v>0.73055555555555551</v>
      </c>
      <c r="C76">
        <v>444</v>
      </c>
      <c r="D76" t="b">
        <v>0</v>
      </c>
    </row>
    <row r="77" spans="1:4" x14ac:dyDescent="0.35">
      <c r="A77" s="2">
        <v>45978</v>
      </c>
      <c r="B77" s="1">
        <v>0.34236111111111112</v>
      </c>
      <c r="C77">
        <v>243</v>
      </c>
      <c r="D77" t="b">
        <v>1</v>
      </c>
    </row>
    <row r="78" spans="1:4" x14ac:dyDescent="0.35">
      <c r="A78" s="2">
        <v>45978</v>
      </c>
      <c r="B78" s="1">
        <v>0.36944444444444446</v>
      </c>
      <c r="C78">
        <v>267</v>
      </c>
      <c r="D78" t="b">
        <v>1</v>
      </c>
    </row>
    <row r="79" spans="1:4" x14ac:dyDescent="0.35">
      <c r="A79" s="2">
        <v>45978</v>
      </c>
      <c r="B79" s="1">
        <v>0.3840277777777778</v>
      </c>
      <c r="C79">
        <v>140</v>
      </c>
      <c r="D79" t="b">
        <v>1</v>
      </c>
    </row>
    <row r="80" spans="1:4" x14ac:dyDescent="0.35">
      <c r="A80" s="2">
        <v>45978</v>
      </c>
      <c r="B80" s="1">
        <v>0.40833333333333333</v>
      </c>
      <c r="C80">
        <v>286</v>
      </c>
      <c r="D80" t="b">
        <v>1</v>
      </c>
    </row>
    <row r="81" spans="1:4" x14ac:dyDescent="0.35">
      <c r="A81" s="2">
        <v>45978</v>
      </c>
      <c r="B81" s="1">
        <v>0.47638888888888886</v>
      </c>
      <c r="C81">
        <v>122</v>
      </c>
      <c r="D81" t="b">
        <v>1</v>
      </c>
    </row>
    <row r="82" spans="1:4" x14ac:dyDescent="0.35">
      <c r="A82" s="2">
        <v>45978</v>
      </c>
      <c r="B82" s="1">
        <v>0.56458333333333333</v>
      </c>
      <c r="C82">
        <v>291</v>
      </c>
      <c r="D82" t="b">
        <v>1</v>
      </c>
    </row>
    <row r="83" spans="1:4" x14ac:dyDescent="0.35">
      <c r="A83" s="2">
        <v>45978</v>
      </c>
      <c r="B83" s="1">
        <v>0.65416666666666667</v>
      </c>
      <c r="C83">
        <v>184</v>
      </c>
      <c r="D83" t="b">
        <v>1</v>
      </c>
    </row>
    <row r="84" spans="1:4" x14ac:dyDescent="0.35">
      <c r="A84" s="2">
        <v>45978</v>
      </c>
      <c r="B84" s="1">
        <v>0.81666666666666665</v>
      </c>
      <c r="C84">
        <v>627</v>
      </c>
      <c r="D84" t="b">
        <v>0</v>
      </c>
    </row>
    <row r="85" spans="1:4" x14ac:dyDescent="0.35">
      <c r="A85" s="2">
        <v>45979</v>
      </c>
      <c r="B85" s="1">
        <v>0.33958333333333335</v>
      </c>
      <c r="C85">
        <v>325</v>
      </c>
      <c r="D85" t="b">
        <v>1</v>
      </c>
    </row>
    <row r="86" spans="1:4" x14ac:dyDescent="0.35">
      <c r="A86" s="2">
        <v>45979</v>
      </c>
      <c r="B86" s="1">
        <v>0.38194444444444442</v>
      </c>
      <c r="C86">
        <v>164</v>
      </c>
      <c r="D86" t="b">
        <v>1</v>
      </c>
    </row>
    <row r="87" spans="1:4" x14ac:dyDescent="0.35">
      <c r="A87" s="2">
        <v>45979</v>
      </c>
      <c r="B87" s="1">
        <v>0.47708333333333336</v>
      </c>
      <c r="C87">
        <v>247</v>
      </c>
      <c r="D87" t="b">
        <v>1</v>
      </c>
    </row>
    <row r="88" spans="1:4" x14ac:dyDescent="0.35">
      <c r="A88" s="2">
        <v>45979</v>
      </c>
      <c r="B88" s="1">
        <v>0.6166666666666667</v>
      </c>
      <c r="C88">
        <v>255</v>
      </c>
      <c r="D88" t="b">
        <v>1</v>
      </c>
    </row>
    <row r="89" spans="1:4" x14ac:dyDescent="0.35">
      <c r="A89" s="2">
        <v>45979</v>
      </c>
      <c r="B89" s="1">
        <v>0.84583333333333333</v>
      </c>
      <c r="C89">
        <v>321</v>
      </c>
      <c r="D89" t="b">
        <v>0</v>
      </c>
    </row>
    <row r="90" spans="1:4" x14ac:dyDescent="0.35">
      <c r="A90" s="2">
        <v>45979</v>
      </c>
      <c r="B90" s="1">
        <v>0.85277777777777775</v>
      </c>
      <c r="C90">
        <v>645</v>
      </c>
      <c r="D90" t="b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522E-48E0-42E0-B871-CF19EF725F04}">
  <dimension ref="A3:H6"/>
  <sheetViews>
    <sheetView workbookViewId="0">
      <selection activeCell="Z18" sqref="Z18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3" spans="1:8" x14ac:dyDescent="0.35">
      <c r="A3" s="3" t="s">
        <v>5</v>
      </c>
      <c r="B3" t="s">
        <v>4</v>
      </c>
    </row>
    <row r="4" spans="1:8" x14ac:dyDescent="0.35">
      <c r="A4" s="4" t="s">
        <v>6</v>
      </c>
      <c r="B4">
        <v>22006</v>
      </c>
      <c r="E4">
        <f>9386/72</f>
        <v>130.36111111111111</v>
      </c>
      <c r="G4" s="5" t="s">
        <v>11</v>
      </c>
      <c r="H4">
        <f>22006/168</f>
        <v>130.98809523809524</v>
      </c>
    </row>
    <row r="5" spans="1:8" x14ac:dyDescent="0.35">
      <c r="A5" s="4" t="s">
        <v>7</v>
      </c>
      <c r="B5">
        <v>9052</v>
      </c>
      <c r="E5">
        <f>6528/40</f>
        <v>163.19999999999999</v>
      </c>
      <c r="G5" s="5" t="s">
        <v>12</v>
      </c>
      <c r="H5">
        <f>9052/56</f>
        <v>161.64285714285714</v>
      </c>
    </row>
    <row r="6" spans="1:8" x14ac:dyDescent="0.35">
      <c r="A6" s="4" t="s">
        <v>8</v>
      </c>
      <c r="B6">
        <v>31058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2F81-31D7-4EC7-BE69-A925756C8FAE}">
  <dimension ref="A3:E6"/>
  <sheetViews>
    <sheetView workbookViewId="0">
      <selection activeCell="E4" sqref="E4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3" spans="1:5" x14ac:dyDescent="0.35">
      <c r="A3" s="3" t="s">
        <v>5</v>
      </c>
      <c r="B3" t="s">
        <v>4</v>
      </c>
      <c r="C3" t="s">
        <v>10</v>
      </c>
      <c r="D3" t="s">
        <v>9</v>
      </c>
    </row>
    <row r="4" spans="1:5" x14ac:dyDescent="0.35">
      <c r="A4" s="4" t="s">
        <v>6</v>
      </c>
      <c r="B4">
        <v>8999</v>
      </c>
      <c r="C4" t="b">
        <v>0</v>
      </c>
      <c r="D4">
        <f>2202/16</f>
        <v>137.625</v>
      </c>
      <c r="E4">
        <f>8999/56</f>
        <v>160.69642857142858</v>
      </c>
    </row>
    <row r="5" spans="1:5" x14ac:dyDescent="0.35">
      <c r="A5" s="4" t="s">
        <v>7</v>
      </c>
      <c r="B5">
        <v>9052</v>
      </c>
      <c r="C5" t="b">
        <v>1</v>
      </c>
      <c r="D5">
        <f>6528/40</f>
        <v>163.19999999999999</v>
      </c>
      <c r="E5">
        <f>9052/56</f>
        <v>161.64285714285714</v>
      </c>
    </row>
    <row r="6" spans="1:5" x14ac:dyDescent="0.35">
      <c r="A6" s="4" t="s">
        <v>8</v>
      </c>
      <c r="B6">
        <v>18051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32B3-B626-4B08-B536-74BE74FE1DD0}">
  <dimension ref="A1:D55"/>
  <sheetViews>
    <sheetView workbookViewId="0">
      <selection activeCell="C57" sqref="C57"/>
    </sheetView>
  </sheetViews>
  <sheetFormatPr defaultRowHeight="14.5" x14ac:dyDescent="0.35"/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 s="2">
        <v>45965</v>
      </c>
      <c r="B2" s="1">
        <v>0.33750000000000002</v>
      </c>
      <c r="C2">
        <v>294</v>
      </c>
      <c r="D2" t="b">
        <v>1</v>
      </c>
    </row>
    <row r="3" spans="1:4" x14ac:dyDescent="0.35">
      <c r="A3" s="2">
        <v>45965</v>
      </c>
      <c r="B3" s="1">
        <v>0.35</v>
      </c>
      <c r="C3">
        <v>192</v>
      </c>
      <c r="D3" t="b">
        <v>1</v>
      </c>
    </row>
    <row r="4" spans="1:4" x14ac:dyDescent="0.35">
      <c r="A4" s="2">
        <v>45965</v>
      </c>
      <c r="B4" s="1">
        <v>0.42986111111111114</v>
      </c>
      <c r="C4">
        <v>351</v>
      </c>
      <c r="D4" t="b">
        <v>1</v>
      </c>
    </row>
    <row r="5" spans="1:4" x14ac:dyDescent="0.35">
      <c r="A5" s="2">
        <v>45965</v>
      </c>
      <c r="B5" s="1">
        <v>0.49513888888888891</v>
      </c>
      <c r="C5">
        <v>196</v>
      </c>
      <c r="D5" t="b">
        <v>1</v>
      </c>
    </row>
    <row r="6" spans="1:4" x14ac:dyDescent="0.35">
      <c r="A6" s="2">
        <v>45965</v>
      </c>
      <c r="B6" s="1">
        <v>0.55902777777777779</v>
      </c>
      <c r="C6">
        <v>280</v>
      </c>
      <c r="D6" t="b">
        <v>1</v>
      </c>
    </row>
    <row r="7" spans="1:4" x14ac:dyDescent="0.35">
      <c r="A7" s="2">
        <v>45965</v>
      </c>
      <c r="B7" s="1">
        <v>0.61319444444444449</v>
      </c>
      <c r="C7">
        <v>223</v>
      </c>
      <c r="D7" t="b">
        <v>1</v>
      </c>
    </row>
    <row r="8" spans="1:4" x14ac:dyDescent="0.35">
      <c r="A8" s="2">
        <v>45966</v>
      </c>
      <c r="B8" s="1">
        <v>0.31111111111111112</v>
      </c>
      <c r="C8">
        <v>415</v>
      </c>
      <c r="D8" t="b">
        <v>1</v>
      </c>
    </row>
    <row r="9" spans="1:4" x14ac:dyDescent="0.35">
      <c r="A9" s="2">
        <v>45966</v>
      </c>
      <c r="B9" s="1">
        <v>0.45277777777777778</v>
      </c>
      <c r="C9">
        <v>114</v>
      </c>
      <c r="D9" t="b">
        <v>1</v>
      </c>
    </row>
    <row r="10" spans="1:4" x14ac:dyDescent="0.35">
      <c r="A10" s="2">
        <v>45966</v>
      </c>
      <c r="B10" s="1">
        <v>0.52361111111111114</v>
      </c>
      <c r="C10">
        <v>282</v>
      </c>
      <c r="D10" t="b">
        <v>1</v>
      </c>
    </row>
    <row r="11" spans="1:4" x14ac:dyDescent="0.35">
      <c r="A11" s="2">
        <v>45966</v>
      </c>
      <c r="B11" s="1">
        <v>0.59652777777777777</v>
      </c>
      <c r="C11">
        <v>234</v>
      </c>
      <c r="D11" t="b">
        <v>1</v>
      </c>
    </row>
    <row r="12" spans="1:4" x14ac:dyDescent="0.35">
      <c r="A12" s="2">
        <v>45967</v>
      </c>
      <c r="B12" s="1">
        <v>0.36944444444444446</v>
      </c>
      <c r="C12">
        <v>506</v>
      </c>
      <c r="D12" t="b">
        <v>1</v>
      </c>
    </row>
    <row r="13" spans="1:4" x14ac:dyDescent="0.35">
      <c r="A13" s="2">
        <v>45967</v>
      </c>
      <c r="B13" s="1">
        <v>0.5493055555555556</v>
      </c>
      <c r="C13">
        <v>473</v>
      </c>
      <c r="D13" t="b">
        <v>1</v>
      </c>
    </row>
    <row r="14" spans="1:4" x14ac:dyDescent="0.35">
      <c r="A14" s="2">
        <v>45968</v>
      </c>
      <c r="B14" s="1">
        <v>0.52083333333333337</v>
      </c>
      <c r="C14">
        <v>506</v>
      </c>
      <c r="D14" t="b">
        <v>1</v>
      </c>
    </row>
    <row r="15" spans="1:4" x14ac:dyDescent="0.35">
      <c r="A15" s="2">
        <v>45968</v>
      </c>
      <c r="B15" s="1">
        <v>0.57152777777777775</v>
      </c>
      <c r="C15">
        <v>473</v>
      </c>
      <c r="D15" t="b">
        <v>1</v>
      </c>
    </row>
    <row r="16" spans="1:4" x14ac:dyDescent="0.35">
      <c r="A16" s="2">
        <v>45969</v>
      </c>
      <c r="B16" s="1">
        <v>0.37361111111111112</v>
      </c>
      <c r="C16">
        <v>607</v>
      </c>
      <c r="D16" t="b">
        <v>0</v>
      </c>
    </row>
    <row r="17" spans="1:4" x14ac:dyDescent="0.35">
      <c r="A17" s="2">
        <v>45969</v>
      </c>
      <c r="B17" s="1">
        <v>0.45069444444444445</v>
      </c>
      <c r="C17">
        <v>423</v>
      </c>
      <c r="D17" t="b">
        <v>0</v>
      </c>
    </row>
    <row r="18" spans="1:4" x14ac:dyDescent="0.35">
      <c r="A18" s="2">
        <v>45969</v>
      </c>
      <c r="B18" s="1">
        <v>0.66527777777777775</v>
      </c>
      <c r="C18">
        <v>261</v>
      </c>
      <c r="D18" t="b">
        <v>0</v>
      </c>
    </row>
    <row r="19" spans="1:4" x14ac:dyDescent="0.35">
      <c r="A19" s="2">
        <v>45970</v>
      </c>
      <c r="B19" s="1">
        <v>0.60763888888888884</v>
      </c>
      <c r="C19">
        <v>378</v>
      </c>
      <c r="D19" t="b">
        <v>0</v>
      </c>
    </row>
    <row r="20" spans="1:4" x14ac:dyDescent="0.35">
      <c r="A20" s="2">
        <v>45970</v>
      </c>
      <c r="B20" s="1">
        <v>0.66527777777777775</v>
      </c>
      <c r="C20">
        <v>533</v>
      </c>
      <c r="D20" t="b">
        <v>0</v>
      </c>
    </row>
    <row r="21" spans="1:4" x14ac:dyDescent="0.35">
      <c r="A21" s="2">
        <v>45971</v>
      </c>
      <c r="B21" s="1">
        <v>0.36249999999999999</v>
      </c>
      <c r="C21">
        <v>353</v>
      </c>
      <c r="D21" t="b">
        <v>1</v>
      </c>
    </row>
    <row r="22" spans="1:4" x14ac:dyDescent="0.35">
      <c r="A22" s="2">
        <v>45971</v>
      </c>
      <c r="B22" s="1">
        <v>0.40833333333333333</v>
      </c>
      <c r="C22">
        <v>163</v>
      </c>
      <c r="D22" t="b">
        <v>1</v>
      </c>
    </row>
    <row r="23" spans="1:4" x14ac:dyDescent="0.35">
      <c r="A23" s="2">
        <v>45971</v>
      </c>
      <c r="B23" s="1">
        <v>0.42152777777777778</v>
      </c>
      <c r="C23">
        <v>340</v>
      </c>
      <c r="D23" t="b">
        <v>1</v>
      </c>
    </row>
    <row r="24" spans="1:4" x14ac:dyDescent="0.35">
      <c r="A24" s="2">
        <v>45971</v>
      </c>
      <c r="B24" s="1">
        <v>0.47499999999999998</v>
      </c>
      <c r="C24">
        <v>175</v>
      </c>
      <c r="D24" t="b">
        <v>1</v>
      </c>
    </row>
    <row r="25" spans="1:4" x14ac:dyDescent="0.35">
      <c r="A25" s="2">
        <v>45971</v>
      </c>
      <c r="B25" s="1">
        <v>0.53263888888888888</v>
      </c>
      <c r="C25">
        <v>346</v>
      </c>
      <c r="D25" t="b">
        <v>1</v>
      </c>
    </row>
    <row r="26" spans="1:4" x14ac:dyDescent="0.35">
      <c r="A26" s="2">
        <v>45971</v>
      </c>
      <c r="B26" s="1">
        <v>0.54166666666666663</v>
      </c>
      <c r="C26">
        <v>112</v>
      </c>
      <c r="D26" t="b">
        <v>1</v>
      </c>
    </row>
    <row r="27" spans="1:4" x14ac:dyDescent="0.35">
      <c r="A27" s="2">
        <v>45971</v>
      </c>
      <c r="B27" s="1">
        <v>0.55972222222222223</v>
      </c>
      <c r="C27">
        <v>353</v>
      </c>
      <c r="D27" t="b">
        <v>1</v>
      </c>
    </row>
    <row r="28" spans="1:4" x14ac:dyDescent="0.35">
      <c r="A28" s="2">
        <v>45971</v>
      </c>
      <c r="B28" s="1">
        <v>0.61041666666666672</v>
      </c>
      <c r="C28">
        <v>147</v>
      </c>
      <c r="D28" t="b">
        <v>1</v>
      </c>
    </row>
    <row r="29" spans="1:4" x14ac:dyDescent="0.35">
      <c r="A29" s="2">
        <v>45972</v>
      </c>
      <c r="B29" s="1">
        <v>0.34444444444444444</v>
      </c>
      <c r="C29">
        <v>433</v>
      </c>
      <c r="D29" t="b">
        <v>0</v>
      </c>
    </row>
    <row r="30" spans="1:4" x14ac:dyDescent="0.35">
      <c r="A30" s="2">
        <v>45972</v>
      </c>
      <c r="B30" s="1">
        <v>0.55972222222222223</v>
      </c>
      <c r="C30">
        <v>257</v>
      </c>
      <c r="D30" t="b">
        <v>0</v>
      </c>
    </row>
    <row r="31" spans="1:4" x14ac:dyDescent="0.35">
      <c r="A31" s="2">
        <v>45972</v>
      </c>
      <c r="B31" s="1">
        <v>0.57430555555555551</v>
      </c>
      <c r="C31">
        <v>404</v>
      </c>
      <c r="D31" t="b">
        <v>0</v>
      </c>
    </row>
    <row r="32" spans="1:4" x14ac:dyDescent="0.35">
      <c r="A32" s="2">
        <v>45972</v>
      </c>
      <c r="B32" s="1">
        <v>0.57986111111111116</v>
      </c>
      <c r="C32">
        <v>442</v>
      </c>
      <c r="D32" t="b">
        <v>0</v>
      </c>
    </row>
    <row r="33" spans="1:4" x14ac:dyDescent="0.35">
      <c r="A33" s="2">
        <v>45972</v>
      </c>
      <c r="B33" s="1">
        <v>0.60833333333333328</v>
      </c>
      <c r="C33">
        <v>304</v>
      </c>
      <c r="D33" t="b">
        <v>0</v>
      </c>
    </row>
    <row r="34" spans="1:4" x14ac:dyDescent="0.35">
      <c r="A34" s="2">
        <v>45972</v>
      </c>
      <c r="B34" s="1">
        <v>0.63749999999999996</v>
      </c>
      <c r="C34">
        <v>437</v>
      </c>
      <c r="D34" t="b">
        <v>0</v>
      </c>
    </row>
    <row r="35" spans="1:4" x14ac:dyDescent="0.35">
      <c r="A35" s="2">
        <v>45973</v>
      </c>
      <c r="B35" s="1">
        <v>0.49930555555555556</v>
      </c>
      <c r="C35">
        <v>537</v>
      </c>
      <c r="D35" t="b">
        <v>0</v>
      </c>
    </row>
    <row r="36" spans="1:4" x14ac:dyDescent="0.35">
      <c r="A36" s="2">
        <v>45973</v>
      </c>
      <c r="B36" s="1">
        <v>0.56319444444444444</v>
      </c>
      <c r="C36">
        <v>399</v>
      </c>
      <c r="D36" t="b">
        <v>0</v>
      </c>
    </row>
    <row r="37" spans="1:4" x14ac:dyDescent="0.35">
      <c r="A37" s="2">
        <v>45974</v>
      </c>
      <c r="B37" s="1">
        <v>0.42569444444444443</v>
      </c>
      <c r="C37">
        <v>519</v>
      </c>
      <c r="D37" t="b">
        <v>0</v>
      </c>
    </row>
    <row r="38" spans="1:4" x14ac:dyDescent="0.35">
      <c r="A38" s="2">
        <v>45974</v>
      </c>
      <c r="B38" s="1">
        <v>0.50555555555555554</v>
      </c>
      <c r="C38">
        <v>378</v>
      </c>
      <c r="D38" t="b">
        <v>0</v>
      </c>
    </row>
    <row r="39" spans="1:4" x14ac:dyDescent="0.35">
      <c r="A39" s="2">
        <v>45974</v>
      </c>
      <c r="B39" s="1">
        <v>0.54166666666666663</v>
      </c>
      <c r="C39">
        <v>270</v>
      </c>
      <c r="D39" t="b">
        <v>0</v>
      </c>
    </row>
    <row r="40" spans="1:4" x14ac:dyDescent="0.35">
      <c r="A40" s="2">
        <v>45974</v>
      </c>
      <c r="B40" s="1">
        <v>0.61527777777777781</v>
      </c>
      <c r="C40">
        <v>482</v>
      </c>
      <c r="D40" t="b">
        <v>0</v>
      </c>
    </row>
    <row r="41" spans="1:4" x14ac:dyDescent="0.35">
      <c r="A41" s="2">
        <v>45975</v>
      </c>
      <c r="B41" s="1">
        <v>0.47361111111111109</v>
      </c>
      <c r="C41">
        <v>559</v>
      </c>
      <c r="D41" t="b">
        <v>0</v>
      </c>
    </row>
    <row r="42" spans="1:4" x14ac:dyDescent="0.35">
      <c r="A42" s="2">
        <v>45976</v>
      </c>
      <c r="B42" s="1">
        <v>0.38958333333333334</v>
      </c>
      <c r="C42">
        <v>725</v>
      </c>
      <c r="D42" t="b">
        <v>0</v>
      </c>
    </row>
    <row r="43" spans="1:4" x14ac:dyDescent="0.35">
      <c r="A43" s="2">
        <v>45976</v>
      </c>
      <c r="B43" s="1">
        <v>0.40486111111111112</v>
      </c>
      <c r="C43">
        <v>411</v>
      </c>
      <c r="D43" t="b">
        <v>0</v>
      </c>
    </row>
    <row r="44" spans="1:4" x14ac:dyDescent="0.35">
      <c r="A44" s="2">
        <v>45976</v>
      </c>
      <c r="B44" s="1">
        <v>0.59513888888888888</v>
      </c>
      <c r="C44">
        <v>240</v>
      </c>
      <c r="D44" t="b">
        <v>0</v>
      </c>
    </row>
    <row r="45" spans="1:4" x14ac:dyDescent="0.35">
      <c r="A45" s="2">
        <v>45978</v>
      </c>
      <c r="B45" s="1">
        <v>0.34236111111111112</v>
      </c>
      <c r="C45">
        <v>243</v>
      </c>
      <c r="D45" t="b">
        <v>1</v>
      </c>
    </row>
    <row r="46" spans="1:4" x14ac:dyDescent="0.35">
      <c r="A46" s="2">
        <v>45978</v>
      </c>
      <c r="B46" s="1">
        <v>0.36944444444444446</v>
      </c>
      <c r="C46">
        <v>267</v>
      </c>
      <c r="D46" t="b">
        <v>1</v>
      </c>
    </row>
    <row r="47" spans="1:4" x14ac:dyDescent="0.35">
      <c r="A47" s="2">
        <v>45978</v>
      </c>
      <c r="B47" s="1">
        <v>0.3840277777777778</v>
      </c>
      <c r="C47">
        <v>140</v>
      </c>
      <c r="D47" t="b">
        <v>1</v>
      </c>
    </row>
    <row r="48" spans="1:4" x14ac:dyDescent="0.35">
      <c r="A48" s="2">
        <v>45978</v>
      </c>
      <c r="B48" s="1">
        <v>0.40833333333333333</v>
      </c>
      <c r="C48">
        <v>286</v>
      </c>
      <c r="D48" t="b">
        <v>1</v>
      </c>
    </row>
    <row r="49" spans="1:4" x14ac:dyDescent="0.35">
      <c r="A49" s="2">
        <v>45978</v>
      </c>
      <c r="B49" s="1">
        <v>0.47638888888888886</v>
      </c>
      <c r="C49">
        <v>122</v>
      </c>
      <c r="D49" t="b">
        <v>1</v>
      </c>
    </row>
    <row r="50" spans="1:4" x14ac:dyDescent="0.35">
      <c r="A50" s="2">
        <v>45978</v>
      </c>
      <c r="B50" s="1">
        <v>0.56458333333333333</v>
      </c>
      <c r="C50">
        <v>291</v>
      </c>
      <c r="D50" t="b">
        <v>1</v>
      </c>
    </row>
    <row r="51" spans="1:4" x14ac:dyDescent="0.35">
      <c r="A51" s="2">
        <v>45978</v>
      </c>
      <c r="B51" s="1">
        <v>0.65416666666666667</v>
      </c>
      <c r="C51">
        <v>184</v>
      </c>
      <c r="D51" t="b">
        <v>1</v>
      </c>
    </row>
    <row r="52" spans="1:4" x14ac:dyDescent="0.35">
      <c r="A52" s="2">
        <v>45979</v>
      </c>
      <c r="B52" s="1">
        <v>0.33958333333333335</v>
      </c>
      <c r="C52">
        <v>325</v>
      </c>
      <c r="D52" t="b">
        <v>1</v>
      </c>
    </row>
    <row r="53" spans="1:4" x14ac:dyDescent="0.35">
      <c r="A53" s="2">
        <v>45979</v>
      </c>
      <c r="B53" s="1">
        <v>0.38194444444444442</v>
      </c>
      <c r="C53">
        <v>164</v>
      </c>
      <c r="D53" t="b">
        <v>1</v>
      </c>
    </row>
    <row r="54" spans="1:4" x14ac:dyDescent="0.35">
      <c r="A54" s="2">
        <v>45979</v>
      </c>
      <c r="B54" s="1">
        <v>0.47708333333333336</v>
      </c>
      <c r="C54">
        <v>247</v>
      </c>
      <c r="D54" t="b">
        <v>1</v>
      </c>
    </row>
    <row r="55" spans="1:4" x14ac:dyDescent="0.35">
      <c r="A55" s="2">
        <v>45979</v>
      </c>
      <c r="B55" s="1">
        <v>0.11666666666666667</v>
      </c>
      <c r="C55">
        <v>255</v>
      </c>
      <c r="D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Sheet6</vt:lpstr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Carter</dc:creator>
  <cp:lastModifiedBy>Abraham Carter</cp:lastModifiedBy>
  <dcterms:created xsi:type="dcterms:W3CDTF">2025-11-04T22:47:02Z</dcterms:created>
  <dcterms:modified xsi:type="dcterms:W3CDTF">2025-11-28T08:39:16Z</dcterms:modified>
</cp:coreProperties>
</file>